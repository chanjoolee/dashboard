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2.bin" ContentType="application/vnd.openxmlformats-officedocument.oleObject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embeddings/oleObject3.bin" ContentType="application/vnd.openxmlformats-officedocument.oleObject"/>
  <Override PartName="/xl/drawings/drawing8.xml" ContentType="application/vnd.openxmlformats-officedocument.drawing+xml"/>
  <Override PartName="/xl/embeddings/oleObject4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embeddings/oleObject5.bin" ContentType="application/vnd.openxmlformats-officedocument.oleObject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embeddings/oleObject6.bin" ContentType="application/vnd.openxmlformats-officedocument.oleObject"/>
  <Override PartName="/xl/comments5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7.bin" ContentType="application/vnd.openxmlformats-officedocument.oleObject"/>
  <Override PartName="/xl/drawings/drawing14.xml" ContentType="application/vnd.openxmlformats-officedocument.drawing+xml"/>
  <Override PartName="/xl/embeddings/oleObject8.bin" ContentType="application/vnd.openxmlformats-officedocument.oleObject"/>
  <Override PartName="/xl/drawings/drawing15.xml" ContentType="application/vnd.openxmlformats-officedocument.drawing+xml"/>
  <Override PartName="/xl/embeddings/oleObject9.bin" ContentType="application/vnd.openxmlformats-officedocument.oleObject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 주요 추진 업무\20.주요 업무\20150901 Dashboard\"/>
    </mc:Choice>
  </mc:AlternateContent>
  <bookViews>
    <workbookView xWindow="15" yWindow="16350" windowWidth="25440" windowHeight="12525" tabRatio="850"/>
  </bookViews>
  <sheets>
    <sheet name="Chart 1 - Graph" sheetId="15" r:id="rId1"/>
    <sheet name="Chart 1 - data" sheetId="16" r:id="rId2"/>
    <sheet name="Chart 1 - Graph (2)" sheetId="18" r:id="rId3"/>
    <sheet name="Chart 2 - Data" sheetId="17" r:id="rId4"/>
    <sheet name="Cover" sheetId="14" r:id="rId5"/>
    <sheet name="VerificationStatusSummary" sheetId="6" r:id="rId6"/>
    <sheet name="VerificationStatusHistory" sheetId="7" r:id="rId7"/>
    <sheet name="Statistics" sheetId="13" r:id="rId8"/>
    <sheet name="Statistics_temp" sheetId="8" r:id="rId9"/>
    <sheet name="Table" sheetId="12" r:id="rId10"/>
    <sheet name="ValidationStatusSummary" sheetId="9" r:id="rId11"/>
    <sheet name="ValidationStatusHistory" sheetId="10" r:id="rId12"/>
    <sheet name="Doc.revision" sheetId="11" r:id="rId13"/>
    <sheet name="임시_Summary(v1)" sheetId="3" r:id="rId14"/>
    <sheet name="임시_history(v1)" sheetId="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_xlnm._FilterDatabase" localSheetId="13" hidden="1">'임시_Summary(v1)'!$D$5:$E$39</definedName>
  </definedNames>
  <calcPr calcId="152511"/>
  <fileRecoveryPr autoRecover="0"/>
</workbook>
</file>

<file path=xl/calcChain.xml><?xml version="1.0" encoding="utf-8"?>
<calcChain xmlns="http://schemas.openxmlformats.org/spreadsheetml/2006/main">
  <c r="AJ36" i="18" l="1"/>
  <c r="AI36" i="18"/>
  <c r="AH36" i="18"/>
  <c r="AC36" i="18"/>
  <c r="AB36" i="18"/>
  <c r="AD36" i="18" s="1"/>
  <c r="W36" i="18"/>
  <c r="V36" i="18"/>
  <c r="X36" i="18" s="1"/>
  <c r="I36" i="18"/>
  <c r="H36" i="18"/>
  <c r="G36" i="18"/>
  <c r="V37" i="18" s="1"/>
  <c r="AI35" i="18"/>
  <c r="AH35" i="18"/>
  <c r="AC35" i="18"/>
  <c r="AB35" i="18"/>
  <c r="W35" i="18"/>
  <c r="V35" i="18"/>
  <c r="I35" i="18"/>
  <c r="H35" i="18"/>
  <c r="G35" i="18"/>
  <c r="E34" i="18"/>
  <c r="D34" i="18"/>
  <c r="C34" i="18"/>
  <c r="AR33" i="18"/>
  <c r="AQ33" i="18"/>
  <c r="AP33" i="18"/>
  <c r="AO33" i="18"/>
  <c r="AN33" i="18"/>
  <c r="AL33" i="18"/>
  <c r="AJ33" i="18"/>
  <c r="AE33" i="18"/>
  <c r="AD33" i="18"/>
  <c r="Z33" i="18"/>
  <c r="X33" i="18"/>
  <c r="P33" i="18"/>
  <c r="O33" i="18"/>
  <c r="N33" i="18"/>
  <c r="M33" i="18"/>
  <c r="L33" i="18"/>
  <c r="K33" i="18"/>
  <c r="Q33" i="18" s="1"/>
  <c r="J33" i="18"/>
  <c r="R33" i="18" s="1"/>
  <c r="S33" i="18" s="1"/>
  <c r="E33" i="18"/>
  <c r="D33" i="18"/>
  <c r="C33" i="18"/>
  <c r="AR32" i="18"/>
  <c r="AQ32" i="18"/>
  <c r="AP32" i="18"/>
  <c r="AO32" i="18"/>
  <c r="AN32" i="18"/>
  <c r="AL32" i="18"/>
  <c r="AJ32" i="18"/>
  <c r="AE32" i="18"/>
  <c r="AD32" i="18"/>
  <c r="Z32" i="18"/>
  <c r="X32" i="18"/>
  <c r="P32" i="18"/>
  <c r="O32" i="18"/>
  <c r="N32" i="18"/>
  <c r="M32" i="18"/>
  <c r="L32" i="18"/>
  <c r="R32" i="18" s="1"/>
  <c r="K32" i="18"/>
  <c r="Q32" i="18" s="1"/>
  <c r="E32" i="18"/>
  <c r="D32" i="18"/>
  <c r="C32" i="18"/>
  <c r="AR31" i="18"/>
  <c r="AQ31" i="18"/>
  <c r="AP31" i="18"/>
  <c r="AO31" i="18"/>
  <c r="AN31" i="18"/>
  <c r="AL31" i="18"/>
  <c r="AJ31" i="18"/>
  <c r="AE31" i="18"/>
  <c r="AD31" i="18"/>
  <c r="Z31" i="18"/>
  <c r="X31" i="18"/>
  <c r="R31" i="18"/>
  <c r="S31" i="18" s="1"/>
  <c r="P31" i="18"/>
  <c r="O31" i="18"/>
  <c r="N31" i="18"/>
  <c r="M31" i="18"/>
  <c r="L31" i="18"/>
  <c r="K31" i="18"/>
  <c r="Q31" i="18" s="1"/>
  <c r="E31" i="18"/>
  <c r="D31" i="18"/>
  <c r="C31" i="18"/>
  <c r="AR30" i="18"/>
  <c r="AQ30" i="18"/>
  <c r="AP30" i="18"/>
  <c r="AO30" i="18"/>
  <c r="AN30" i="18"/>
  <c r="AL30" i="18"/>
  <c r="AJ30" i="18"/>
  <c r="AE30" i="18"/>
  <c r="AD30" i="18"/>
  <c r="Z30" i="18"/>
  <c r="X30" i="18"/>
  <c r="Q30" i="18"/>
  <c r="P30" i="18"/>
  <c r="O30" i="18"/>
  <c r="N30" i="18"/>
  <c r="M30" i="18"/>
  <c r="L30" i="18"/>
  <c r="R30" i="18" s="1"/>
  <c r="S30" i="18" s="1"/>
  <c r="K30" i="18"/>
  <c r="E30" i="18"/>
  <c r="D30" i="18"/>
  <c r="C30" i="18"/>
  <c r="AR29" i="18"/>
  <c r="AQ29" i="18"/>
  <c r="AP29" i="18"/>
  <c r="AO29" i="18"/>
  <c r="AN29" i="18"/>
  <c r="AL29" i="18"/>
  <c r="AJ29" i="18"/>
  <c r="AE29" i="18"/>
  <c r="AD29" i="18"/>
  <c r="Z29" i="18"/>
  <c r="X29" i="18"/>
  <c r="P29" i="18"/>
  <c r="O29" i="18"/>
  <c r="N29" i="18"/>
  <c r="M29" i="18"/>
  <c r="L29" i="18"/>
  <c r="R29" i="18" s="1"/>
  <c r="K29" i="18"/>
  <c r="Q29" i="18" s="1"/>
  <c r="E29" i="18"/>
  <c r="D29" i="18"/>
  <c r="C29" i="18"/>
  <c r="AR28" i="18"/>
  <c r="AQ28" i="18"/>
  <c r="AP28" i="18"/>
  <c r="AO28" i="18"/>
  <c r="AN28" i="18"/>
  <c r="AL28" i="18"/>
  <c r="AJ28" i="18"/>
  <c r="AE28" i="18"/>
  <c r="AD28" i="18"/>
  <c r="Z28" i="18"/>
  <c r="X28" i="18"/>
  <c r="P28" i="18"/>
  <c r="O28" i="18"/>
  <c r="N28" i="18"/>
  <c r="M28" i="18"/>
  <c r="L28" i="18"/>
  <c r="R28" i="18" s="1"/>
  <c r="K28" i="18"/>
  <c r="Q28" i="18" s="1"/>
  <c r="E28" i="18"/>
  <c r="D28" i="18"/>
  <c r="C28" i="18"/>
  <c r="AR27" i="18"/>
  <c r="AQ27" i="18"/>
  <c r="AP27" i="18"/>
  <c r="AO27" i="18"/>
  <c r="AN27" i="18"/>
  <c r="AL27" i="18"/>
  <c r="AJ27" i="18"/>
  <c r="AE27" i="18"/>
  <c r="AD27" i="18"/>
  <c r="Z27" i="18"/>
  <c r="X27" i="18"/>
  <c r="R27" i="18"/>
  <c r="S27" i="18" s="1"/>
  <c r="P27" i="18"/>
  <c r="O27" i="18"/>
  <c r="N27" i="18"/>
  <c r="M27" i="18"/>
  <c r="L27" i="18"/>
  <c r="K27" i="18"/>
  <c r="Q27" i="18" s="1"/>
  <c r="E27" i="18"/>
  <c r="D27" i="18"/>
  <c r="C27" i="18"/>
  <c r="AR26" i="18"/>
  <c r="AQ26" i="18"/>
  <c r="AP26" i="18"/>
  <c r="AO26" i="18"/>
  <c r="AN26" i="18"/>
  <c r="AL26" i="18"/>
  <c r="AJ26" i="18"/>
  <c r="AE26" i="18"/>
  <c r="AD26" i="18"/>
  <c r="Z26" i="18"/>
  <c r="X26" i="18"/>
  <c r="Q26" i="18"/>
  <c r="P26" i="18"/>
  <c r="O26" i="18"/>
  <c r="N26" i="18"/>
  <c r="M26" i="18"/>
  <c r="L26" i="18"/>
  <c r="R26" i="18" s="1"/>
  <c r="S26" i="18" s="1"/>
  <c r="K26" i="18"/>
  <c r="E26" i="18"/>
  <c r="D26" i="18"/>
  <c r="C26" i="18"/>
  <c r="AR25" i="18"/>
  <c r="AQ25" i="18"/>
  <c r="AP25" i="18"/>
  <c r="AO25" i="18"/>
  <c r="AN25" i="18"/>
  <c r="AL25" i="18"/>
  <c r="AJ25" i="18"/>
  <c r="AE25" i="18"/>
  <c r="AD25" i="18"/>
  <c r="Z25" i="18"/>
  <c r="X25" i="18"/>
  <c r="P25" i="18"/>
  <c r="O25" i="18"/>
  <c r="N25" i="18"/>
  <c r="M25" i="18"/>
  <c r="L25" i="18"/>
  <c r="R25" i="18" s="1"/>
  <c r="K25" i="18"/>
  <c r="Q25" i="18" s="1"/>
  <c r="E25" i="18"/>
  <c r="D25" i="18"/>
  <c r="C25" i="18"/>
  <c r="AR24" i="18"/>
  <c r="AQ24" i="18"/>
  <c r="AP24" i="18"/>
  <c r="AO24" i="18"/>
  <c r="AN24" i="18"/>
  <c r="AL24" i="18"/>
  <c r="AJ24" i="18"/>
  <c r="AE24" i="18"/>
  <c r="AD24" i="18"/>
  <c r="Z24" i="18"/>
  <c r="X24" i="18"/>
  <c r="P24" i="18"/>
  <c r="O24" i="18"/>
  <c r="N24" i="18"/>
  <c r="M24" i="18"/>
  <c r="L24" i="18"/>
  <c r="R24" i="18" s="1"/>
  <c r="K24" i="18"/>
  <c r="Q24" i="18" s="1"/>
  <c r="E24" i="18"/>
  <c r="D24" i="18"/>
  <c r="C24" i="18"/>
  <c r="AR23" i="18"/>
  <c r="AQ23" i="18"/>
  <c r="AP23" i="18"/>
  <c r="AO23" i="18"/>
  <c r="AN23" i="18"/>
  <c r="AL23" i="18"/>
  <c r="AJ23" i="18"/>
  <c r="AE23" i="18"/>
  <c r="AD23" i="18"/>
  <c r="Z23" i="18"/>
  <c r="X23" i="18"/>
  <c r="R23" i="18"/>
  <c r="S23" i="18" s="1"/>
  <c r="P23" i="18"/>
  <c r="O23" i="18"/>
  <c r="N23" i="18"/>
  <c r="M23" i="18"/>
  <c r="L23" i="18"/>
  <c r="K23" i="18"/>
  <c r="Q23" i="18" s="1"/>
  <c r="E23" i="18"/>
  <c r="D23" i="18"/>
  <c r="C23" i="18"/>
  <c r="AR22" i="18"/>
  <c r="AQ22" i="18"/>
  <c r="AP22" i="18"/>
  <c r="AO22" i="18"/>
  <c r="AN22" i="18"/>
  <c r="AL22" i="18"/>
  <c r="AJ22" i="18"/>
  <c r="AE22" i="18"/>
  <c r="AD22" i="18"/>
  <c r="Z22" i="18"/>
  <c r="X22" i="18"/>
  <c r="R22" i="18"/>
  <c r="S22" i="18" s="1"/>
  <c r="Q22" i="18"/>
  <c r="P22" i="18"/>
  <c r="O22" i="18"/>
  <c r="N22" i="18"/>
  <c r="M22" i="18"/>
  <c r="L22" i="18"/>
  <c r="K22" i="18"/>
  <c r="E22" i="18"/>
  <c r="D22" i="18"/>
  <c r="C22" i="18"/>
  <c r="AR21" i="18"/>
  <c r="AQ21" i="18"/>
  <c r="AP21" i="18"/>
  <c r="AO21" i="18"/>
  <c r="AN21" i="18"/>
  <c r="AL21" i="18"/>
  <c r="AJ21" i="18"/>
  <c r="AE21" i="18"/>
  <c r="AD21" i="18"/>
  <c r="Z21" i="18"/>
  <c r="X21" i="18"/>
  <c r="Q21" i="18"/>
  <c r="P21" i="18"/>
  <c r="O21" i="18"/>
  <c r="N21" i="18"/>
  <c r="M21" i="18"/>
  <c r="L21" i="18"/>
  <c r="R21" i="18" s="1"/>
  <c r="S21" i="18" s="1"/>
  <c r="K21" i="18"/>
  <c r="E21" i="18"/>
  <c r="D21" i="18"/>
  <c r="C21" i="18"/>
  <c r="AR20" i="18"/>
  <c r="AQ20" i="18"/>
  <c r="AP20" i="18"/>
  <c r="AO20" i="18"/>
  <c r="AN20" i="18"/>
  <c r="AL20" i="18"/>
  <c r="AJ20" i="18"/>
  <c r="AE20" i="18"/>
  <c r="AD20" i="18"/>
  <c r="Z20" i="18"/>
  <c r="X20" i="18"/>
  <c r="P20" i="18"/>
  <c r="O20" i="18"/>
  <c r="N20" i="18"/>
  <c r="M20" i="18"/>
  <c r="L20" i="18"/>
  <c r="R20" i="18" s="1"/>
  <c r="K20" i="18"/>
  <c r="Q20" i="18" s="1"/>
  <c r="E20" i="18"/>
  <c r="D20" i="18"/>
  <c r="C20" i="18"/>
  <c r="AR19" i="18"/>
  <c r="AQ19" i="18"/>
  <c r="AP19" i="18"/>
  <c r="AO19" i="18"/>
  <c r="AN19" i="18"/>
  <c r="AL19" i="18"/>
  <c r="AJ19" i="18"/>
  <c r="AE19" i="18"/>
  <c r="AD19" i="18"/>
  <c r="Z19" i="18"/>
  <c r="X19" i="18"/>
  <c r="R19" i="18"/>
  <c r="S19" i="18" s="1"/>
  <c r="P19" i="18"/>
  <c r="O19" i="18"/>
  <c r="N19" i="18"/>
  <c r="M19" i="18"/>
  <c r="L19" i="18"/>
  <c r="K19" i="18"/>
  <c r="Q19" i="18" s="1"/>
  <c r="E19" i="18"/>
  <c r="D19" i="18"/>
  <c r="C19" i="18"/>
  <c r="AR18" i="18"/>
  <c r="AQ18" i="18"/>
  <c r="AP18" i="18"/>
  <c r="AO18" i="18"/>
  <c r="AN18" i="18"/>
  <c r="AL18" i="18"/>
  <c r="AJ18" i="18"/>
  <c r="AE18" i="18"/>
  <c r="AD18" i="18"/>
  <c r="Z18" i="18"/>
  <c r="X18" i="18"/>
  <c r="R18" i="18"/>
  <c r="S18" i="18" s="1"/>
  <c r="Q18" i="18"/>
  <c r="P18" i="18"/>
  <c r="O18" i="18"/>
  <c r="N18" i="18"/>
  <c r="M18" i="18"/>
  <c r="L18" i="18"/>
  <c r="K18" i="18"/>
  <c r="E18" i="18"/>
  <c r="D18" i="18"/>
  <c r="C18" i="18"/>
  <c r="AR17" i="18"/>
  <c r="AQ17" i="18"/>
  <c r="AP17" i="18"/>
  <c r="AO17" i="18"/>
  <c r="AN17" i="18"/>
  <c r="AL17" i="18"/>
  <c r="AJ17" i="18"/>
  <c r="AE17" i="18"/>
  <c r="AD17" i="18"/>
  <c r="Z17" i="18"/>
  <c r="X17" i="18"/>
  <c r="P17" i="18"/>
  <c r="O17" i="18"/>
  <c r="N17" i="18"/>
  <c r="M17" i="18"/>
  <c r="L17" i="18"/>
  <c r="R17" i="18" s="1"/>
  <c r="S17" i="18" s="1"/>
  <c r="K17" i="18"/>
  <c r="Q17" i="18" s="1"/>
  <c r="E17" i="18"/>
  <c r="D17" i="18"/>
  <c r="C17" i="18"/>
  <c r="AR16" i="18"/>
  <c r="AQ16" i="18"/>
  <c r="AP16" i="18"/>
  <c r="AO16" i="18"/>
  <c r="AN16" i="18"/>
  <c r="AL16" i="18"/>
  <c r="AJ16" i="18"/>
  <c r="AE16" i="18"/>
  <c r="AD16" i="18"/>
  <c r="Z16" i="18"/>
  <c r="X16" i="18"/>
  <c r="P16" i="18"/>
  <c r="O16" i="18"/>
  <c r="N16" i="18"/>
  <c r="M16" i="18"/>
  <c r="L16" i="18"/>
  <c r="R16" i="18" s="1"/>
  <c r="S16" i="18" s="1"/>
  <c r="K16" i="18"/>
  <c r="Q16" i="18" s="1"/>
  <c r="E16" i="18"/>
  <c r="D16" i="18"/>
  <c r="C16" i="18"/>
  <c r="AR15" i="18"/>
  <c r="AQ15" i="18"/>
  <c r="AP15" i="18"/>
  <c r="AO15" i="18"/>
  <c r="AN15" i="18"/>
  <c r="AL15" i="18"/>
  <c r="AJ15" i="18"/>
  <c r="AE15" i="18"/>
  <c r="AD15" i="18"/>
  <c r="Z15" i="18"/>
  <c r="X15" i="18"/>
  <c r="R15" i="18"/>
  <c r="S15" i="18" s="1"/>
  <c r="Q15" i="18"/>
  <c r="P15" i="18"/>
  <c r="O15" i="18"/>
  <c r="N15" i="18"/>
  <c r="M15" i="18"/>
  <c r="L15" i="18"/>
  <c r="K15" i="18"/>
  <c r="E15" i="18"/>
  <c r="D15" i="18"/>
  <c r="C15" i="18"/>
  <c r="AR14" i="18"/>
  <c r="AQ14" i="18"/>
  <c r="AP14" i="18"/>
  <c r="AO14" i="18"/>
  <c r="AN14" i="18"/>
  <c r="AL14" i="18"/>
  <c r="AJ14" i="18"/>
  <c r="AE14" i="18"/>
  <c r="AD14" i="18"/>
  <c r="Z14" i="18"/>
  <c r="X14" i="18"/>
  <c r="Q14" i="18"/>
  <c r="P14" i="18"/>
  <c r="O14" i="18"/>
  <c r="N14" i="18"/>
  <c r="M14" i="18"/>
  <c r="L14" i="18"/>
  <c r="R14" i="18" s="1"/>
  <c r="S14" i="18" s="1"/>
  <c r="K14" i="18"/>
  <c r="E14" i="18"/>
  <c r="D14" i="18"/>
  <c r="C14" i="18"/>
  <c r="AR13" i="18"/>
  <c r="AQ13" i="18"/>
  <c r="AP13" i="18"/>
  <c r="AO13" i="18"/>
  <c r="AN13" i="18"/>
  <c r="AL13" i="18"/>
  <c r="AJ13" i="18"/>
  <c r="AE13" i="18"/>
  <c r="AD13" i="18"/>
  <c r="Z13" i="18"/>
  <c r="X13" i="18"/>
  <c r="P13" i="18"/>
  <c r="O13" i="18"/>
  <c r="N13" i="18"/>
  <c r="M13" i="18"/>
  <c r="L13" i="18"/>
  <c r="R13" i="18" s="1"/>
  <c r="K13" i="18"/>
  <c r="Q13" i="18" s="1"/>
  <c r="E13" i="18"/>
  <c r="D13" i="18"/>
  <c r="C13" i="18"/>
  <c r="AR12" i="18"/>
  <c r="AQ12" i="18"/>
  <c r="AP12" i="18"/>
  <c r="AO12" i="18"/>
  <c r="AN12" i="18"/>
  <c r="AL12" i="18"/>
  <c r="AJ12" i="18"/>
  <c r="AE12" i="18"/>
  <c r="AD12" i="18"/>
  <c r="Z12" i="18"/>
  <c r="X12" i="18"/>
  <c r="P12" i="18"/>
  <c r="O12" i="18"/>
  <c r="N12" i="18"/>
  <c r="M12" i="18"/>
  <c r="L12" i="18"/>
  <c r="R12" i="18" s="1"/>
  <c r="K12" i="18"/>
  <c r="Q12" i="18" s="1"/>
  <c r="E12" i="18"/>
  <c r="D12" i="18"/>
  <c r="C12" i="18"/>
  <c r="AR11" i="18"/>
  <c r="AQ11" i="18"/>
  <c r="AP11" i="18"/>
  <c r="AO11" i="18"/>
  <c r="AN11" i="18"/>
  <c r="AL11" i="18"/>
  <c r="AJ11" i="18"/>
  <c r="AE11" i="18"/>
  <c r="AD11" i="18"/>
  <c r="Z11" i="18"/>
  <c r="X11" i="18"/>
  <c r="R11" i="18"/>
  <c r="P11" i="18"/>
  <c r="O11" i="18"/>
  <c r="N11" i="18"/>
  <c r="M11" i="18"/>
  <c r="L11" i="18"/>
  <c r="K11" i="18"/>
  <c r="Q11" i="18" s="1"/>
  <c r="E11" i="18"/>
  <c r="D11" i="18"/>
  <c r="C11" i="18"/>
  <c r="AR10" i="18"/>
  <c r="AQ10" i="18"/>
  <c r="AP10" i="18"/>
  <c r="AO10" i="18"/>
  <c r="AN10" i="18"/>
  <c r="AL10" i="18"/>
  <c r="AJ10" i="18"/>
  <c r="AE10" i="18"/>
  <c r="AD10" i="18"/>
  <c r="Z10" i="18"/>
  <c r="X10" i="18"/>
  <c r="Q10" i="18"/>
  <c r="P10" i="18"/>
  <c r="O10" i="18"/>
  <c r="N10" i="18"/>
  <c r="M10" i="18"/>
  <c r="L10" i="18"/>
  <c r="R10" i="18" s="1"/>
  <c r="S10" i="18" s="1"/>
  <c r="K10" i="18"/>
  <c r="E10" i="18"/>
  <c r="D10" i="18"/>
  <c r="C10" i="18"/>
  <c r="AR9" i="18"/>
  <c r="AQ9" i="18"/>
  <c r="AP9" i="18"/>
  <c r="AO9" i="18"/>
  <c r="AN9" i="18"/>
  <c r="AL9" i="18"/>
  <c r="AJ9" i="18"/>
  <c r="AE9" i="18"/>
  <c r="AD9" i="18"/>
  <c r="Z9" i="18"/>
  <c r="X9" i="18"/>
  <c r="P9" i="18"/>
  <c r="O9" i="18"/>
  <c r="N9" i="18"/>
  <c r="M9" i="18"/>
  <c r="L9" i="18"/>
  <c r="L35" i="18" s="1"/>
  <c r="K9" i="18"/>
  <c r="Q9" i="18" s="1"/>
  <c r="E9" i="18"/>
  <c r="D9" i="18"/>
  <c r="C9" i="18"/>
  <c r="AR8" i="18"/>
  <c r="AQ8" i="18"/>
  <c r="AP8" i="18"/>
  <c r="AO8" i="18"/>
  <c r="AN8" i="18"/>
  <c r="AL8" i="18"/>
  <c r="AJ8" i="18"/>
  <c r="AE8" i="18"/>
  <c r="AD8" i="18"/>
  <c r="Z8" i="18"/>
  <c r="X8" i="18"/>
  <c r="P8" i="18"/>
  <c r="O8" i="18"/>
  <c r="N8" i="18"/>
  <c r="M8" i="18"/>
  <c r="L8" i="18"/>
  <c r="R8" i="18" s="1"/>
  <c r="K8" i="18"/>
  <c r="Q8" i="18" s="1"/>
  <c r="E8" i="18"/>
  <c r="D8" i="18"/>
  <c r="C8" i="18"/>
  <c r="AR7" i="18"/>
  <c r="AQ7" i="18"/>
  <c r="AP7" i="18"/>
  <c r="AO7" i="18"/>
  <c r="AN7" i="18"/>
  <c r="AL7" i="18"/>
  <c r="AJ7" i="18"/>
  <c r="AE7" i="18"/>
  <c r="AD7" i="18"/>
  <c r="Z7" i="18"/>
  <c r="X7" i="18"/>
  <c r="R7" i="18"/>
  <c r="S7" i="18" s="1"/>
  <c r="P7" i="18"/>
  <c r="O7" i="18"/>
  <c r="N7" i="18"/>
  <c r="N35" i="18" s="1"/>
  <c r="M7" i="18"/>
  <c r="L7" i="18"/>
  <c r="K7" i="18"/>
  <c r="Q7" i="18" s="1"/>
  <c r="E7" i="18"/>
  <c r="D7" i="18"/>
  <c r="C7" i="18"/>
  <c r="AR6" i="18"/>
  <c r="AQ6" i="18"/>
  <c r="AP6" i="18"/>
  <c r="AO6" i="18"/>
  <c r="AN6" i="18"/>
  <c r="AL6" i="18"/>
  <c r="AJ6" i="18"/>
  <c r="AE6" i="18"/>
  <c r="AD6" i="18"/>
  <c r="Z6" i="18"/>
  <c r="X6" i="18"/>
  <c r="Q6" i="18"/>
  <c r="Q35" i="18" s="1"/>
  <c r="P6" i="18"/>
  <c r="O6" i="18"/>
  <c r="O35" i="18" s="1"/>
  <c r="N6" i="18"/>
  <c r="M6" i="18"/>
  <c r="L6" i="18"/>
  <c r="R6" i="18" s="1"/>
  <c r="K6" i="18"/>
  <c r="K36" i="18" s="1"/>
  <c r="E6" i="18"/>
  <c r="D6" i="18"/>
  <c r="C6" i="18"/>
  <c r="S8" i="18" l="1"/>
  <c r="S20" i="18"/>
  <c r="S24" i="18"/>
  <c r="S25" i="18"/>
  <c r="S32" i="18"/>
  <c r="X37" i="18"/>
  <c r="R36" i="18"/>
  <c r="S6" i="18"/>
  <c r="S11" i="18"/>
  <c r="S12" i="18"/>
  <c r="S13" i="18"/>
  <c r="S28" i="18"/>
  <c r="S29" i="18"/>
  <c r="L36" i="18"/>
  <c r="W37" i="18" s="1"/>
  <c r="R9" i="18"/>
  <c r="S9" i="18" s="1"/>
  <c r="J35" i="18"/>
  <c r="J36" i="18"/>
  <c r="Q36" i="18"/>
  <c r="K35" i="18"/>
  <c r="D35" i="17"/>
  <c r="E35" i="17"/>
  <c r="F35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G35" i="17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6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6" i="15"/>
  <c r="AF36" i="16"/>
  <c r="AE36" i="16"/>
  <c r="AD36" i="16"/>
  <c r="Z36" i="16"/>
  <c r="Y36" i="16"/>
  <c r="AA36" i="16" s="1"/>
  <c r="U36" i="16"/>
  <c r="T36" i="16"/>
  <c r="V36" i="16" s="1"/>
  <c r="L36" i="16"/>
  <c r="U37" i="16" s="1"/>
  <c r="I36" i="16"/>
  <c r="H36" i="16"/>
  <c r="G36" i="16"/>
  <c r="T37" i="16" s="1"/>
  <c r="AE35" i="16"/>
  <c r="AD35" i="16"/>
  <c r="Z35" i="16"/>
  <c r="Y35" i="16"/>
  <c r="U35" i="16"/>
  <c r="T35" i="16"/>
  <c r="L35" i="16"/>
  <c r="I35" i="16"/>
  <c r="H35" i="16"/>
  <c r="G35" i="16"/>
  <c r="E34" i="16"/>
  <c r="D34" i="16"/>
  <c r="C34" i="16"/>
  <c r="AM33" i="16"/>
  <c r="AL33" i="16"/>
  <c r="AK33" i="16"/>
  <c r="AJ33" i="16"/>
  <c r="AI33" i="16"/>
  <c r="AG33" i="16"/>
  <c r="AF33" i="16"/>
  <c r="AB33" i="16"/>
  <c r="AA33" i="16"/>
  <c r="W33" i="16"/>
  <c r="V33" i="16"/>
  <c r="Q33" i="16"/>
  <c r="P33" i="16"/>
  <c r="O33" i="16"/>
  <c r="N33" i="16"/>
  <c r="M33" i="16"/>
  <c r="L33" i="16"/>
  <c r="K33" i="16"/>
  <c r="J33" i="16"/>
  <c r="J36" i="16" s="1"/>
  <c r="E33" i="16"/>
  <c r="D33" i="16"/>
  <c r="C33" i="16"/>
  <c r="AM32" i="16"/>
  <c r="AL32" i="16"/>
  <c r="AK32" i="16"/>
  <c r="AJ32" i="16"/>
  <c r="AI32" i="16"/>
  <c r="AG32" i="16"/>
  <c r="AF32" i="16"/>
  <c r="AB32" i="16"/>
  <c r="AA32" i="16"/>
  <c r="W32" i="16"/>
  <c r="V32" i="16"/>
  <c r="Q32" i="16"/>
  <c r="P32" i="16"/>
  <c r="O32" i="16"/>
  <c r="N32" i="16"/>
  <c r="M32" i="16"/>
  <c r="L32" i="16"/>
  <c r="R32" i="16" s="1"/>
  <c r="K32" i="16"/>
  <c r="E32" i="16"/>
  <c r="D32" i="16"/>
  <c r="C32" i="16"/>
  <c r="AM31" i="16"/>
  <c r="AL31" i="16"/>
  <c r="AK31" i="16"/>
  <c r="AJ31" i="16"/>
  <c r="AI31" i="16"/>
  <c r="AG31" i="16"/>
  <c r="AF31" i="16"/>
  <c r="AB31" i="16"/>
  <c r="AA31" i="16"/>
  <c r="W31" i="16"/>
  <c r="V31" i="16"/>
  <c r="R31" i="16"/>
  <c r="P31" i="16"/>
  <c r="O31" i="16"/>
  <c r="N31" i="16"/>
  <c r="M31" i="16"/>
  <c r="L31" i="16"/>
  <c r="K31" i="16"/>
  <c r="Q31" i="16" s="1"/>
  <c r="E31" i="16"/>
  <c r="D31" i="16"/>
  <c r="C31" i="16"/>
  <c r="AM30" i="16"/>
  <c r="AL30" i="16"/>
  <c r="AK30" i="16"/>
  <c r="AJ30" i="16"/>
  <c r="AI30" i="16"/>
  <c r="AG30" i="16"/>
  <c r="AF30" i="16"/>
  <c r="AB30" i="16"/>
  <c r="AA30" i="16"/>
  <c r="W30" i="16"/>
  <c r="V30" i="16"/>
  <c r="Q30" i="16"/>
  <c r="P30" i="16"/>
  <c r="O30" i="16"/>
  <c r="N30" i="16"/>
  <c r="M30" i="16"/>
  <c r="L30" i="16"/>
  <c r="R30" i="16" s="1"/>
  <c r="K30" i="16"/>
  <c r="E30" i="16"/>
  <c r="D30" i="16"/>
  <c r="C30" i="16"/>
  <c r="AM29" i="16"/>
  <c r="AL29" i="16"/>
  <c r="AK29" i="16"/>
  <c r="AJ29" i="16"/>
  <c r="AI29" i="16"/>
  <c r="AG29" i="16"/>
  <c r="AF29" i="16"/>
  <c r="AB29" i="16"/>
  <c r="AA29" i="16"/>
  <c r="W29" i="16"/>
  <c r="V29" i="16"/>
  <c r="R29" i="16"/>
  <c r="P29" i="16"/>
  <c r="O29" i="16"/>
  <c r="N29" i="16"/>
  <c r="M29" i="16"/>
  <c r="L29" i="16"/>
  <c r="K29" i="16"/>
  <c r="Q29" i="16" s="1"/>
  <c r="E29" i="16"/>
  <c r="D29" i="16"/>
  <c r="C29" i="16"/>
  <c r="AM28" i="16"/>
  <c r="AL28" i="16"/>
  <c r="AK28" i="16"/>
  <c r="AJ28" i="16"/>
  <c r="AI28" i="16"/>
  <c r="AG28" i="16"/>
  <c r="AF28" i="16"/>
  <c r="AB28" i="16"/>
  <c r="AA28" i="16"/>
  <c r="W28" i="16"/>
  <c r="V28" i="16"/>
  <c r="Q28" i="16"/>
  <c r="P28" i="16"/>
  <c r="O28" i="16"/>
  <c r="N28" i="16"/>
  <c r="M28" i="16"/>
  <c r="L28" i="16"/>
  <c r="R28" i="16" s="1"/>
  <c r="K28" i="16"/>
  <c r="E28" i="16"/>
  <c r="D28" i="16"/>
  <c r="C28" i="16"/>
  <c r="AM27" i="16"/>
  <c r="AL27" i="16"/>
  <c r="AK27" i="16"/>
  <c r="AJ27" i="16"/>
  <c r="AI27" i="16"/>
  <c r="AG27" i="16"/>
  <c r="AF27" i="16"/>
  <c r="AB27" i="16"/>
  <c r="AA27" i="16"/>
  <c r="W27" i="16"/>
  <c r="V27" i="16"/>
  <c r="R27" i="16"/>
  <c r="P27" i="16"/>
  <c r="O27" i="16"/>
  <c r="N27" i="16"/>
  <c r="M27" i="16"/>
  <c r="L27" i="16"/>
  <c r="K27" i="16"/>
  <c r="Q27" i="16" s="1"/>
  <c r="E27" i="16"/>
  <c r="D27" i="16"/>
  <c r="C27" i="16"/>
  <c r="AM26" i="16"/>
  <c r="AL26" i="16"/>
  <c r="AK26" i="16"/>
  <c r="AJ26" i="16"/>
  <c r="AI26" i="16"/>
  <c r="AG26" i="16"/>
  <c r="AF26" i="16"/>
  <c r="AB26" i="16"/>
  <c r="AA26" i="16"/>
  <c r="W26" i="16"/>
  <c r="V26" i="16"/>
  <c r="Q26" i="16"/>
  <c r="P26" i="16"/>
  <c r="O26" i="16"/>
  <c r="N26" i="16"/>
  <c r="M26" i="16"/>
  <c r="L26" i="16"/>
  <c r="R26" i="16" s="1"/>
  <c r="K26" i="16"/>
  <c r="E26" i="16"/>
  <c r="D26" i="16"/>
  <c r="C26" i="16"/>
  <c r="AM25" i="16"/>
  <c r="AL25" i="16"/>
  <c r="AK25" i="16"/>
  <c r="AJ25" i="16"/>
  <c r="AI25" i="16"/>
  <c r="AG25" i="16"/>
  <c r="AF25" i="16"/>
  <c r="AB25" i="16"/>
  <c r="AA25" i="16"/>
  <c r="W25" i="16"/>
  <c r="V25" i="16"/>
  <c r="R25" i="16"/>
  <c r="P25" i="16"/>
  <c r="O25" i="16"/>
  <c r="N25" i="16"/>
  <c r="M25" i="16"/>
  <c r="L25" i="16"/>
  <c r="K25" i="16"/>
  <c r="Q25" i="16" s="1"/>
  <c r="E25" i="16"/>
  <c r="D25" i="16"/>
  <c r="C25" i="16"/>
  <c r="AM24" i="16"/>
  <c r="AL24" i="16"/>
  <c r="AK24" i="16"/>
  <c r="AJ24" i="16"/>
  <c r="AI24" i="16"/>
  <c r="AG24" i="16"/>
  <c r="AF24" i="16"/>
  <c r="AB24" i="16"/>
  <c r="AA24" i="16"/>
  <c r="W24" i="16"/>
  <c r="V24" i="16"/>
  <c r="Q24" i="16"/>
  <c r="P24" i="16"/>
  <c r="O24" i="16"/>
  <c r="N24" i="16"/>
  <c r="M24" i="16"/>
  <c r="L24" i="16"/>
  <c r="R24" i="16" s="1"/>
  <c r="K24" i="16"/>
  <c r="E24" i="16"/>
  <c r="D24" i="16"/>
  <c r="C24" i="16"/>
  <c r="AM23" i="16"/>
  <c r="AL23" i="16"/>
  <c r="AK23" i="16"/>
  <c r="AJ23" i="16"/>
  <c r="AI23" i="16"/>
  <c r="AG23" i="16"/>
  <c r="AF23" i="16"/>
  <c r="AB23" i="16"/>
  <c r="AA23" i="16"/>
  <c r="W23" i="16"/>
  <c r="V23" i="16"/>
  <c r="R23" i="16"/>
  <c r="P23" i="16"/>
  <c r="O23" i="16"/>
  <c r="N23" i="16"/>
  <c r="M23" i="16"/>
  <c r="L23" i="16"/>
  <c r="K23" i="16"/>
  <c r="Q23" i="16" s="1"/>
  <c r="E23" i="16"/>
  <c r="D23" i="16"/>
  <c r="C23" i="16"/>
  <c r="AM22" i="16"/>
  <c r="AL22" i="16"/>
  <c r="AK22" i="16"/>
  <c r="AJ22" i="16"/>
  <c r="AI22" i="16"/>
  <c r="AG22" i="16"/>
  <c r="AF22" i="16"/>
  <c r="AB22" i="16"/>
  <c r="AA22" i="16"/>
  <c r="W22" i="16"/>
  <c r="V22" i="16"/>
  <c r="Q22" i="16"/>
  <c r="P22" i="16"/>
  <c r="O22" i="16"/>
  <c r="N22" i="16"/>
  <c r="M22" i="16"/>
  <c r="L22" i="16"/>
  <c r="R22" i="16" s="1"/>
  <c r="K22" i="16"/>
  <c r="E22" i="16"/>
  <c r="D22" i="16"/>
  <c r="C22" i="16"/>
  <c r="AM21" i="16"/>
  <c r="AL21" i="16"/>
  <c r="AK21" i="16"/>
  <c r="AJ21" i="16"/>
  <c r="AI21" i="16"/>
  <c r="AG21" i="16"/>
  <c r="AF21" i="16"/>
  <c r="AB21" i="16"/>
  <c r="AA21" i="16"/>
  <c r="W21" i="16"/>
  <c r="V21" i="16"/>
  <c r="R21" i="16"/>
  <c r="P21" i="16"/>
  <c r="O21" i="16"/>
  <c r="N21" i="16"/>
  <c r="M21" i="16"/>
  <c r="L21" i="16"/>
  <c r="K21" i="16"/>
  <c r="Q21" i="16" s="1"/>
  <c r="E21" i="16"/>
  <c r="D21" i="16"/>
  <c r="C21" i="16"/>
  <c r="AM20" i="16"/>
  <c r="AL20" i="16"/>
  <c r="AK20" i="16"/>
  <c r="AJ20" i="16"/>
  <c r="AI20" i="16"/>
  <c r="AG20" i="16"/>
  <c r="AF20" i="16"/>
  <c r="AB20" i="16"/>
  <c r="AA20" i="16"/>
  <c r="W20" i="16"/>
  <c r="V20" i="16"/>
  <c r="Q20" i="16"/>
  <c r="P20" i="16"/>
  <c r="O20" i="16"/>
  <c r="N20" i="16"/>
  <c r="M20" i="16"/>
  <c r="L20" i="16"/>
  <c r="R20" i="16" s="1"/>
  <c r="K20" i="16"/>
  <c r="E20" i="16"/>
  <c r="D20" i="16"/>
  <c r="C20" i="16"/>
  <c r="AM19" i="16"/>
  <c r="AL19" i="16"/>
  <c r="AK19" i="16"/>
  <c r="AJ19" i="16"/>
  <c r="AI19" i="16"/>
  <c r="AG19" i="16"/>
  <c r="AF19" i="16"/>
  <c r="AB19" i="16"/>
  <c r="AA19" i="16"/>
  <c r="W19" i="16"/>
  <c r="V19" i="16"/>
  <c r="R19" i="16"/>
  <c r="P19" i="16"/>
  <c r="O19" i="16"/>
  <c r="N19" i="16"/>
  <c r="M19" i="16"/>
  <c r="L19" i="16"/>
  <c r="K19" i="16"/>
  <c r="Q19" i="16" s="1"/>
  <c r="E19" i="16"/>
  <c r="D19" i="16"/>
  <c r="C19" i="16"/>
  <c r="AM18" i="16"/>
  <c r="AL18" i="16"/>
  <c r="AK18" i="16"/>
  <c r="AJ18" i="16"/>
  <c r="AI18" i="16"/>
  <c r="AG18" i="16"/>
  <c r="AF18" i="16"/>
  <c r="AB18" i="16"/>
  <c r="AA18" i="16"/>
  <c r="W18" i="16"/>
  <c r="V18" i="16"/>
  <c r="Q18" i="16"/>
  <c r="P18" i="16"/>
  <c r="O18" i="16"/>
  <c r="N18" i="16"/>
  <c r="M18" i="16"/>
  <c r="L18" i="16"/>
  <c r="R18" i="16" s="1"/>
  <c r="K18" i="16"/>
  <c r="E18" i="16"/>
  <c r="D18" i="16"/>
  <c r="C18" i="16"/>
  <c r="AM17" i="16"/>
  <c r="AL17" i="16"/>
  <c r="AK17" i="16"/>
  <c r="AJ17" i="16"/>
  <c r="AI17" i="16"/>
  <c r="AG17" i="16"/>
  <c r="AF17" i="16"/>
  <c r="AB17" i="16"/>
  <c r="AA17" i="16"/>
  <c r="W17" i="16"/>
  <c r="V17" i="16"/>
  <c r="R17" i="16"/>
  <c r="P17" i="16"/>
  <c r="O17" i="16"/>
  <c r="N17" i="16"/>
  <c r="M17" i="16"/>
  <c r="L17" i="16"/>
  <c r="K17" i="16"/>
  <c r="Q17" i="16" s="1"/>
  <c r="E17" i="16"/>
  <c r="D17" i="16"/>
  <c r="C17" i="16"/>
  <c r="AM16" i="16"/>
  <c r="AL16" i="16"/>
  <c r="AK16" i="16"/>
  <c r="AJ16" i="16"/>
  <c r="AI16" i="16"/>
  <c r="AG16" i="16"/>
  <c r="AF16" i="16"/>
  <c r="AB16" i="16"/>
  <c r="AA16" i="16"/>
  <c r="W16" i="16"/>
  <c r="V16" i="16"/>
  <c r="Q16" i="16"/>
  <c r="P16" i="16"/>
  <c r="O16" i="16"/>
  <c r="N16" i="16"/>
  <c r="M16" i="16"/>
  <c r="L16" i="16"/>
  <c r="R16" i="16" s="1"/>
  <c r="K16" i="16"/>
  <c r="E16" i="16"/>
  <c r="D16" i="16"/>
  <c r="C16" i="16"/>
  <c r="AM15" i="16"/>
  <c r="AL15" i="16"/>
  <c r="AK15" i="16"/>
  <c r="AJ15" i="16"/>
  <c r="AI15" i="16"/>
  <c r="AG15" i="16"/>
  <c r="AF15" i="16"/>
  <c r="AB15" i="16"/>
  <c r="AA15" i="16"/>
  <c r="W15" i="16"/>
  <c r="V15" i="16"/>
  <c r="R15" i="16"/>
  <c r="P15" i="16"/>
  <c r="O15" i="16"/>
  <c r="N15" i="16"/>
  <c r="M15" i="16"/>
  <c r="L15" i="16"/>
  <c r="K15" i="16"/>
  <c r="Q15" i="16" s="1"/>
  <c r="E15" i="16"/>
  <c r="D15" i="16"/>
  <c r="C15" i="16"/>
  <c r="AM14" i="16"/>
  <c r="AL14" i="16"/>
  <c r="AK14" i="16"/>
  <c r="AJ14" i="16"/>
  <c r="AI14" i="16"/>
  <c r="AG14" i="16"/>
  <c r="AF14" i="16"/>
  <c r="AB14" i="16"/>
  <c r="AA14" i="16"/>
  <c r="W14" i="16"/>
  <c r="V14" i="16"/>
  <c r="Q14" i="16"/>
  <c r="P14" i="16"/>
  <c r="O14" i="16"/>
  <c r="N14" i="16"/>
  <c r="M14" i="16"/>
  <c r="L14" i="16"/>
  <c r="R14" i="16" s="1"/>
  <c r="K14" i="16"/>
  <c r="E14" i="16"/>
  <c r="D14" i="16"/>
  <c r="C14" i="16"/>
  <c r="AM13" i="16"/>
  <c r="AL13" i="16"/>
  <c r="AK13" i="16"/>
  <c r="AJ13" i="16"/>
  <c r="AI13" i="16"/>
  <c r="AG13" i="16"/>
  <c r="AF13" i="16"/>
  <c r="AB13" i="16"/>
  <c r="AA13" i="16"/>
  <c r="W13" i="16"/>
  <c r="V13" i="16"/>
  <c r="R13" i="16"/>
  <c r="P13" i="16"/>
  <c r="O13" i="16"/>
  <c r="N13" i="16"/>
  <c r="M13" i="16"/>
  <c r="L13" i="16"/>
  <c r="K13" i="16"/>
  <c r="Q13" i="16" s="1"/>
  <c r="E13" i="16"/>
  <c r="D13" i="16"/>
  <c r="C13" i="16"/>
  <c r="AM12" i="16"/>
  <c r="AL12" i="16"/>
  <c r="AK12" i="16"/>
  <c r="AJ12" i="16"/>
  <c r="AI12" i="16"/>
  <c r="AG12" i="16"/>
  <c r="AF12" i="16"/>
  <c r="AB12" i="16"/>
  <c r="AA12" i="16"/>
  <c r="W12" i="16"/>
  <c r="V12" i="16"/>
  <c r="Q12" i="16"/>
  <c r="P12" i="16"/>
  <c r="O12" i="16"/>
  <c r="N12" i="16"/>
  <c r="M12" i="16"/>
  <c r="L12" i="16"/>
  <c r="R12" i="16" s="1"/>
  <c r="K12" i="16"/>
  <c r="E12" i="16"/>
  <c r="D12" i="16"/>
  <c r="C12" i="16"/>
  <c r="AM11" i="16"/>
  <c r="AL11" i="16"/>
  <c r="AK11" i="16"/>
  <c r="AJ11" i="16"/>
  <c r="AI11" i="16"/>
  <c r="AG11" i="16"/>
  <c r="AF11" i="16"/>
  <c r="AB11" i="16"/>
  <c r="AA11" i="16"/>
  <c r="W11" i="16"/>
  <c r="V11" i="16"/>
  <c r="R11" i="16"/>
  <c r="P11" i="16"/>
  <c r="O11" i="16"/>
  <c r="N11" i="16"/>
  <c r="M11" i="16"/>
  <c r="L11" i="16"/>
  <c r="K11" i="16"/>
  <c r="Q11" i="16" s="1"/>
  <c r="E11" i="16"/>
  <c r="D11" i="16"/>
  <c r="C11" i="16"/>
  <c r="AM10" i="16"/>
  <c r="AL10" i="16"/>
  <c r="AK10" i="16"/>
  <c r="AJ10" i="16"/>
  <c r="AI10" i="16"/>
  <c r="AG10" i="16"/>
  <c r="AF10" i="16"/>
  <c r="AB10" i="16"/>
  <c r="AA10" i="16"/>
  <c r="W10" i="16"/>
  <c r="V10" i="16"/>
  <c r="Q10" i="16"/>
  <c r="P10" i="16"/>
  <c r="O10" i="16"/>
  <c r="N10" i="16"/>
  <c r="M10" i="16"/>
  <c r="L10" i="16"/>
  <c r="R10" i="16" s="1"/>
  <c r="K10" i="16"/>
  <c r="E10" i="16"/>
  <c r="D10" i="16"/>
  <c r="C10" i="16"/>
  <c r="AM9" i="16"/>
  <c r="AL9" i="16"/>
  <c r="AK9" i="16"/>
  <c r="AJ9" i="16"/>
  <c r="AI9" i="16"/>
  <c r="AG9" i="16"/>
  <c r="AF9" i="16"/>
  <c r="AB9" i="16"/>
  <c r="AA9" i="16"/>
  <c r="W9" i="16"/>
  <c r="V9" i="16"/>
  <c r="R9" i="16"/>
  <c r="P9" i="16"/>
  <c r="O9" i="16"/>
  <c r="N9" i="16"/>
  <c r="M9" i="16"/>
  <c r="L9" i="16"/>
  <c r="K9" i="16"/>
  <c r="Q9" i="16" s="1"/>
  <c r="E9" i="16"/>
  <c r="D9" i="16"/>
  <c r="C9" i="16"/>
  <c r="AM8" i="16"/>
  <c r="AL8" i="16"/>
  <c r="AK8" i="16"/>
  <c r="AJ8" i="16"/>
  <c r="AI8" i="16"/>
  <c r="AG8" i="16"/>
  <c r="AF8" i="16"/>
  <c r="AB8" i="16"/>
  <c r="AA8" i="16"/>
  <c r="W8" i="16"/>
  <c r="V8" i="16"/>
  <c r="Q8" i="16"/>
  <c r="P8" i="16"/>
  <c r="O8" i="16"/>
  <c r="N8" i="16"/>
  <c r="M8" i="16"/>
  <c r="L8" i="16"/>
  <c r="R8" i="16" s="1"/>
  <c r="K8" i="16"/>
  <c r="E8" i="16"/>
  <c r="D8" i="16"/>
  <c r="C8" i="16"/>
  <c r="AM7" i="16"/>
  <c r="AL7" i="16"/>
  <c r="AK7" i="16"/>
  <c r="AJ7" i="16"/>
  <c r="AI7" i="16"/>
  <c r="AG7" i="16"/>
  <c r="AF7" i="16"/>
  <c r="AB7" i="16"/>
  <c r="AA7" i="16"/>
  <c r="W7" i="16"/>
  <c r="V7" i="16"/>
  <c r="P7" i="16"/>
  <c r="O7" i="16"/>
  <c r="N7" i="16"/>
  <c r="N35" i="16" s="1"/>
  <c r="M7" i="16"/>
  <c r="L7" i="16"/>
  <c r="R7" i="16" s="1"/>
  <c r="K7" i="16"/>
  <c r="Q7" i="16" s="1"/>
  <c r="E7" i="16"/>
  <c r="D7" i="16"/>
  <c r="C7" i="16"/>
  <c r="AM6" i="16"/>
  <c r="AL6" i="16"/>
  <c r="AK6" i="16"/>
  <c r="AJ6" i="16"/>
  <c r="AI6" i="16"/>
  <c r="AG6" i="16"/>
  <c r="AF6" i="16"/>
  <c r="AB6" i="16"/>
  <c r="AA6" i="16"/>
  <c r="W6" i="16"/>
  <c r="V6" i="16"/>
  <c r="Q6" i="16"/>
  <c r="P6" i="16"/>
  <c r="O6" i="16"/>
  <c r="O35" i="16" s="1"/>
  <c r="N6" i="16"/>
  <c r="M6" i="16"/>
  <c r="L6" i="16"/>
  <c r="R6" i="16" s="1"/>
  <c r="K6" i="16"/>
  <c r="K36" i="16" s="1"/>
  <c r="E6" i="16"/>
  <c r="D6" i="16"/>
  <c r="C6" i="16"/>
  <c r="M36" i="18" l="1"/>
  <c r="R35" i="18"/>
  <c r="R36" i="16"/>
  <c r="Q35" i="16"/>
  <c r="V37" i="16"/>
  <c r="M36" i="16"/>
  <c r="R33" i="16"/>
  <c r="R35" i="16" s="1"/>
  <c r="J35" i="16"/>
  <c r="Q36" i="16"/>
  <c r="K35" i="16"/>
  <c r="AH36" i="15"/>
  <c r="E34" i="15"/>
  <c r="D34" i="15"/>
  <c r="C34" i="15"/>
  <c r="AR33" i="15"/>
  <c r="AQ33" i="15"/>
  <c r="AP33" i="15"/>
  <c r="AO33" i="15"/>
  <c r="AN33" i="15"/>
  <c r="AL33" i="15"/>
  <c r="AE33" i="15"/>
  <c r="Z33" i="15"/>
  <c r="P33" i="15"/>
  <c r="O33" i="15"/>
  <c r="N33" i="15"/>
  <c r="M33" i="15"/>
  <c r="L33" i="15"/>
  <c r="K33" i="15"/>
  <c r="Q33" i="15" s="1"/>
  <c r="J33" i="15"/>
  <c r="J35" i="15" s="1"/>
  <c r="E33" i="15"/>
  <c r="D33" i="15"/>
  <c r="C33" i="15"/>
  <c r="AR32" i="15"/>
  <c r="AQ32" i="15"/>
  <c r="AP32" i="15"/>
  <c r="AO32" i="15"/>
  <c r="AN32" i="15"/>
  <c r="AL32" i="15"/>
  <c r="AE32" i="15"/>
  <c r="Z32" i="15"/>
  <c r="P32" i="15"/>
  <c r="O32" i="15"/>
  <c r="N32" i="15"/>
  <c r="M32" i="15"/>
  <c r="L32" i="15"/>
  <c r="R32" i="15" s="1"/>
  <c r="K32" i="15"/>
  <c r="Q32" i="15" s="1"/>
  <c r="E32" i="15"/>
  <c r="D32" i="15"/>
  <c r="C32" i="15"/>
  <c r="AR31" i="15"/>
  <c r="AQ31" i="15"/>
  <c r="AP31" i="15"/>
  <c r="AO31" i="15"/>
  <c r="AN31" i="15"/>
  <c r="AL31" i="15"/>
  <c r="AE31" i="15"/>
  <c r="Z31" i="15"/>
  <c r="P31" i="15"/>
  <c r="O31" i="15"/>
  <c r="N31" i="15"/>
  <c r="M31" i="15"/>
  <c r="L31" i="15"/>
  <c r="R31" i="15" s="1"/>
  <c r="S31" i="15" s="1"/>
  <c r="K31" i="15"/>
  <c r="Q31" i="15" s="1"/>
  <c r="E31" i="15"/>
  <c r="D31" i="15"/>
  <c r="C31" i="15"/>
  <c r="AR30" i="15"/>
  <c r="AQ30" i="15"/>
  <c r="AP30" i="15"/>
  <c r="AO30" i="15"/>
  <c r="AN30" i="15"/>
  <c r="AL30" i="15"/>
  <c r="AE30" i="15"/>
  <c r="Z30" i="15"/>
  <c r="P30" i="15"/>
  <c r="O30" i="15"/>
  <c r="N30" i="15"/>
  <c r="M30" i="15"/>
  <c r="L30" i="15"/>
  <c r="R30" i="15" s="1"/>
  <c r="K30" i="15"/>
  <c r="Q30" i="15" s="1"/>
  <c r="E30" i="15"/>
  <c r="D30" i="15"/>
  <c r="C30" i="15"/>
  <c r="AR29" i="15"/>
  <c r="AQ29" i="15"/>
  <c r="AP29" i="15"/>
  <c r="AO29" i="15"/>
  <c r="AN29" i="15"/>
  <c r="AL29" i="15"/>
  <c r="AE29" i="15"/>
  <c r="Z29" i="15"/>
  <c r="P29" i="15"/>
  <c r="O29" i="15"/>
  <c r="N29" i="15"/>
  <c r="M29" i="15"/>
  <c r="L29" i="15"/>
  <c r="R29" i="15" s="1"/>
  <c r="S29" i="15" s="1"/>
  <c r="K29" i="15"/>
  <c r="Q29" i="15" s="1"/>
  <c r="E29" i="15"/>
  <c r="D29" i="15"/>
  <c r="C29" i="15"/>
  <c r="AR28" i="15"/>
  <c r="AQ28" i="15"/>
  <c r="AP28" i="15"/>
  <c r="AO28" i="15"/>
  <c r="AN28" i="15"/>
  <c r="AL28" i="15"/>
  <c r="AE28" i="15"/>
  <c r="Z28" i="15"/>
  <c r="P28" i="15"/>
  <c r="O28" i="15"/>
  <c r="N28" i="15"/>
  <c r="M28" i="15"/>
  <c r="L28" i="15"/>
  <c r="R28" i="15" s="1"/>
  <c r="K28" i="15"/>
  <c r="Q28" i="15" s="1"/>
  <c r="E28" i="15"/>
  <c r="D28" i="15"/>
  <c r="C28" i="15"/>
  <c r="AR27" i="15"/>
  <c r="AQ27" i="15"/>
  <c r="AP27" i="15"/>
  <c r="AO27" i="15"/>
  <c r="AN27" i="15"/>
  <c r="AL27" i="15"/>
  <c r="AE27" i="15"/>
  <c r="Z27" i="15"/>
  <c r="P27" i="15"/>
  <c r="O27" i="15"/>
  <c r="N27" i="15"/>
  <c r="M27" i="15"/>
  <c r="L27" i="15"/>
  <c r="R27" i="15" s="1"/>
  <c r="S27" i="15" s="1"/>
  <c r="K27" i="15"/>
  <c r="Q27" i="15" s="1"/>
  <c r="E27" i="15"/>
  <c r="D27" i="15"/>
  <c r="C27" i="15"/>
  <c r="AR26" i="15"/>
  <c r="AQ26" i="15"/>
  <c r="AP26" i="15"/>
  <c r="AO26" i="15"/>
  <c r="AN26" i="15"/>
  <c r="AL26" i="15"/>
  <c r="AE26" i="15"/>
  <c r="Z26" i="15"/>
  <c r="P26" i="15"/>
  <c r="O26" i="15"/>
  <c r="N26" i="15"/>
  <c r="M26" i="15"/>
  <c r="L26" i="15"/>
  <c r="R26" i="15" s="1"/>
  <c r="K26" i="15"/>
  <c r="Q26" i="15" s="1"/>
  <c r="E26" i="15"/>
  <c r="D26" i="15"/>
  <c r="C26" i="15"/>
  <c r="AR25" i="15"/>
  <c r="AQ25" i="15"/>
  <c r="AP25" i="15"/>
  <c r="AO25" i="15"/>
  <c r="AN25" i="15"/>
  <c r="AL25" i="15"/>
  <c r="AE25" i="15"/>
  <c r="Z25" i="15"/>
  <c r="P25" i="15"/>
  <c r="O25" i="15"/>
  <c r="N25" i="15"/>
  <c r="M25" i="15"/>
  <c r="L25" i="15"/>
  <c r="R25" i="15" s="1"/>
  <c r="S25" i="15" s="1"/>
  <c r="K25" i="15"/>
  <c r="Q25" i="15" s="1"/>
  <c r="E25" i="15"/>
  <c r="D25" i="15"/>
  <c r="C25" i="15"/>
  <c r="AR24" i="15"/>
  <c r="AQ24" i="15"/>
  <c r="AP24" i="15"/>
  <c r="AO24" i="15"/>
  <c r="AN24" i="15"/>
  <c r="AL24" i="15"/>
  <c r="AE24" i="15"/>
  <c r="Z24" i="15"/>
  <c r="P24" i="15"/>
  <c r="O24" i="15"/>
  <c r="N24" i="15"/>
  <c r="M24" i="15"/>
  <c r="L24" i="15"/>
  <c r="R24" i="15" s="1"/>
  <c r="K24" i="15"/>
  <c r="Q24" i="15" s="1"/>
  <c r="E24" i="15"/>
  <c r="D24" i="15"/>
  <c r="C24" i="15"/>
  <c r="AR23" i="15"/>
  <c r="AQ23" i="15"/>
  <c r="AP23" i="15"/>
  <c r="AO23" i="15"/>
  <c r="AN23" i="15"/>
  <c r="AL23" i="15"/>
  <c r="AE23" i="15"/>
  <c r="Z23" i="15"/>
  <c r="P23" i="15"/>
  <c r="O23" i="15"/>
  <c r="N23" i="15"/>
  <c r="M23" i="15"/>
  <c r="L23" i="15"/>
  <c r="R23" i="15" s="1"/>
  <c r="K23" i="15"/>
  <c r="Q23" i="15" s="1"/>
  <c r="E23" i="15"/>
  <c r="D23" i="15"/>
  <c r="C23" i="15"/>
  <c r="AR22" i="15"/>
  <c r="AQ22" i="15"/>
  <c r="AP22" i="15"/>
  <c r="AO22" i="15"/>
  <c r="AN22" i="15"/>
  <c r="AL22" i="15"/>
  <c r="AE22" i="15"/>
  <c r="Z22" i="15"/>
  <c r="P22" i="15"/>
  <c r="O22" i="15"/>
  <c r="N22" i="15"/>
  <c r="M22" i="15"/>
  <c r="L22" i="15"/>
  <c r="R22" i="15" s="1"/>
  <c r="K22" i="15"/>
  <c r="Q22" i="15" s="1"/>
  <c r="E22" i="15"/>
  <c r="D22" i="15"/>
  <c r="C22" i="15"/>
  <c r="AR21" i="15"/>
  <c r="AQ21" i="15"/>
  <c r="AP21" i="15"/>
  <c r="AO21" i="15"/>
  <c r="AN21" i="15"/>
  <c r="AL21" i="15"/>
  <c r="AE21" i="15"/>
  <c r="Z21" i="15"/>
  <c r="P21" i="15"/>
  <c r="O21" i="15"/>
  <c r="N21" i="15"/>
  <c r="M21" i="15"/>
  <c r="L21" i="15"/>
  <c r="R21" i="15" s="1"/>
  <c r="S21" i="15" s="1"/>
  <c r="K21" i="15"/>
  <c r="Q21" i="15" s="1"/>
  <c r="E21" i="15"/>
  <c r="D21" i="15"/>
  <c r="C21" i="15"/>
  <c r="AR20" i="15"/>
  <c r="AQ20" i="15"/>
  <c r="AP20" i="15"/>
  <c r="AO20" i="15"/>
  <c r="AN20" i="15"/>
  <c r="AL20" i="15"/>
  <c r="AE20" i="15"/>
  <c r="Z20" i="15"/>
  <c r="P20" i="15"/>
  <c r="O20" i="15"/>
  <c r="N20" i="15"/>
  <c r="M20" i="15"/>
  <c r="L20" i="15"/>
  <c r="R20" i="15" s="1"/>
  <c r="K20" i="15"/>
  <c r="Q20" i="15" s="1"/>
  <c r="E20" i="15"/>
  <c r="D20" i="15"/>
  <c r="C20" i="15"/>
  <c r="AR19" i="15"/>
  <c r="AQ19" i="15"/>
  <c r="AP19" i="15"/>
  <c r="AO19" i="15"/>
  <c r="AN19" i="15"/>
  <c r="AL19" i="15"/>
  <c r="AE19" i="15"/>
  <c r="Z19" i="15"/>
  <c r="P19" i="15"/>
  <c r="O19" i="15"/>
  <c r="N19" i="15"/>
  <c r="M19" i="15"/>
  <c r="L19" i="15"/>
  <c r="R19" i="15" s="1"/>
  <c r="S19" i="15" s="1"/>
  <c r="K19" i="15"/>
  <c r="Q19" i="15" s="1"/>
  <c r="E19" i="15"/>
  <c r="D19" i="15"/>
  <c r="C19" i="15"/>
  <c r="AR18" i="15"/>
  <c r="AQ18" i="15"/>
  <c r="AP18" i="15"/>
  <c r="AO18" i="15"/>
  <c r="AN18" i="15"/>
  <c r="AL18" i="15"/>
  <c r="AE18" i="15"/>
  <c r="Z18" i="15"/>
  <c r="P18" i="15"/>
  <c r="O18" i="15"/>
  <c r="N18" i="15"/>
  <c r="M18" i="15"/>
  <c r="L18" i="15"/>
  <c r="R18" i="15" s="1"/>
  <c r="K18" i="15"/>
  <c r="Q18" i="15" s="1"/>
  <c r="E18" i="15"/>
  <c r="D18" i="15"/>
  <c r="C18" i="15"/>
  <c r="AR17" i="15"/>
  <c r="AQ17" i="15"/>
  <c r="AP17" i="15"/>
  <c r="AO17" i="15"/>
  <c r="AN17" i="15"/>
  <c r="AL17" i="15"/>
  <c r="AE17" i="15"/>
  <c r="Z17" i="15"/>
  <c r="P17" i="15"/>
  <c r="O17" i="15"/>
  <c r="N17" i="15"/>
  <c r="M17" i="15"/>
  <c r="L17" i="15"/>
  <c r="R17" i="15" s="1"/>
  <c r="S17" i="15" s="1"/>
  <c r="K17" i="15"/>
  <c r="Q17" i="15" s="1"/>
  <c r="E17" i="15"/>
  <c r="D17" i="15"/>
  <c r="C17" i="15"/>
  <c r="AR16" i="15"/>
  <c r="AQ16" i="15"/>
  <c r="AP16" i="15"/>
  <c r="AO16" i="15"/>
  <c r="AN16" i="15"/>
  <c r="AL16" i="15"/>
  <c r="AE16" i="15"/>
  <c r="Z16" i="15"/>
  <c r="P16" i="15"/>
  <c r="O16" i="15"/>
  <c r="N16" i="15"/>
  <c r="M16" i="15"/>
  <c r="L16" i="15"/>
  <c r="R16" i="15" s="1"/>
  <c r="K16" i="15"/>
  <c r="Q16" i="15" s="1"/>
  <c r="E16" i="15"/>
  <c r="D16" i="15"/>
  <c r="C16" i="15"/>
  <c r="AR15" i="15"/>
  <c r="AQ15" i="15"/>
  <c r="AP15" i="15"/>
  <c r="AO15" i="15"/>
  <c r="AN15" i="15"/>
  <c r="AL15" i="15"/>
  <c r="AE15" i="15"/>
  <c r="Z15" i="15"/>
  <c r="P15" i="15"/>
  <c r="O15" i="15"/>
  <c r="N15" i="15"/>
  <c r="M15" i="15"/>
  <c r="L15" i="15"/>
  <c r="R15" i="15" s="1"/>
  <c r="S15" i="15" s="1"/>
  <c r="K15" i="15"/>
  <c r="Q15" i="15" s="1"/>
  <c r="E15" i="15"/>
  <c r="D15" i="15"/>
  <c r="C15" i="15"/>
  <c r="AR14" i="15"/>
  <c r="AQ14" i="15"/>
  <c r="AP14" i="15"/>
  <c r="AO14" i="15"/>
  <c r="AN14" i="15"/>
  <c r="AL14" i="15"/>
  <c r="AE14" i="15"/>
  <c r="Z14" i="15"/>
  <c r="P14" i="15"/>
  <c r="O14" i="15"/>
  <c r="N14" i="15"/>
  <c r="M14" i="15"/>
  <c r="L14" i="15"/>
  <c r="R14" i="15" s="1"/>
  <c r="K14" i="15"/>
  <c r="Q14" i="15" s="1"/>
  <c r="E14" i="15"/>
  <c r="D14" i="15"/>
  <c r="C14" i="15"/>
  <c r="AR13" i="15"/>
  <c r="AQ13" i="15"/>
  <c r="AP13" i="15"/>
  <c r="AO13" i="15"/>
  <c r="AN13" i="15"/>
  <c r="AL13" i="15"/>
  <c r="AE13" i="15"/>
  <c r="Z13" i="15"/>
  <c r="P13" i="15"/>
  <c r="O13" i="15"/>
  <c r="N13" i="15"/>
  <c r="M13" i="15"/>
  <c r="L13" i="15"/>
  <c r="R13" i="15" s="1"/>
  <c r="S13" i="15" s="1"/>
  <c r="K13" i="15"/>
  <c r="Q13" i="15" s="1"/>
  <c r="E13" i="15"/>
  <c r="D13" i="15"/>
  <c r="C13" i="15"/>
  <c r="AR12" i="15"/>
  <c r="AQ12" i="15"/>
  <c r="AP12" i="15"/>
  <c r="AO12" i="15"/>
  <c r="AN12" i="15"/>
  <c r="AL12" i="15"/>
  <c r="AE12" i="15"/>
  <c r="Z12" i="15"/>
  <c r="P12" i="15"/>
  <c r="O12" i="15"/>
  <c r="N12" i="15"/>
  <c r="M12" i="15"/>
  <c r="L12" i="15"/>
  <c r="R12" i="15" s="1"/>
  <c r="K12" i="15"/>
  <c r="Q12" i="15" s="1"/>
  <c r="E12" i="15"/>
  <c r="D12" i="15"/>
  <c r="C12" i="15"/>
  <c r="AR11" i="15"/>
  <c r="AQ11" i="15"/>
  <c r="AP11" i="15"/>
  <c r="AO11" i="15"/>
  <c r="AN11" i="15"/>
  <c r="AL11" i="15"/>
  <c r="AE11" i="15"/>
  <c r="Z11" i="15"/>
  <c r="P11" i="15"/>
  <c r="O11" i="15"/>
  <c r="N11" i="15"/>
  <c r="M11" i="15"/>
  <c r="L11" i="15"/>
  <c r="R11" i="15" s="1"/>
  <c r="S11" i="15" s="1"/>
  <c r="K11" i="15"/>
  <c r="Q11" i="15" s="1"/>
  <c r="E11" i="15"/>
  <c r="D11" i="15"/>
  <c r="C11" i="15"/>
  <c r="AR10" i="15"/>
  <c r="AQ10" i="15"/>
  <c r="AP10" i="15"/>
  <c r="AO10" i="15"/>
  <c r="AN10" i="15"/>
  <c r="AL10" i="15"/>
  <c r="AE10" i="15"/>
  <c r="Z10" i="15"/>
  <c r="P10" i="15"/>
  <c r="O10" i="15"/>
  <c r="N10" i="15"/>
  <c r="M10" i="15"/>
  <c r="L10" i="15"/>
  <c r="R10" i="15" s="1"/>
  <c r="K10" i="15"/>
  <c r="Q10" i="15" s="1"/>
  <c r="E10" i="15"/>
  <c r="D10" i="15"/>
  <c r="C10" i="15"/>
  <c r="AR9" i="15"/>
  <c r="AQ9" i="15"/>
  <c r="AP9" i="15"/>
  <c r="AO9" i="15"/>
  <c r="AN9" i="15"/>
  <c r="AL9" i="15"/>
  <c r="AE9" i="15"/>
  <c r="Z9" i="15"/>
  <c r="P9" i="15"/>
  <c r="O9" i="15"/>
  <c r="N9" i="15"/>
  <c r="M9" i="15"/>
  <c r="L9" i="15"/>
  <c r="R9" i="15" s="1"/>
  <c r="S9" i="15" s="1"/>
  <c r="K9" i="15"/>
  <c r="Q9" i="15" s="1"/>
  <c r="E9" i="15"/>
  <c r="D9" i="15"/>
  <c r="C9" i="15"/>
  <c r="AR8" i="15"/>
  <c r="AQ8" i="15"/>
  <c r="AP8" i="15"/>
  <c r="AO8" i="15"/>
  <c r="AN8" i="15"/>
  <c r="AL8" i="15"/>
  <c r="AE8" i="15"/>
  <c r="Z8" i="15"/>
  <c r="P8" i="15"/>
  <c r="O8" i="15"/>
  <c r="N8" i="15"/>
  <c r="M8" i="15"/>
  <c r="L8" i="15"/>
  <c r="R8" i="15" s="1"/>
  <c r="K8" i="15"/>
  <c r="Q8" i="15" s="1"/>
  <c r="E8" i="15"/>
  <c r="D8" i="15"/>
  <c r="C8" i="15"/>
  <c r="AR7" i="15"/>
  <c r="AQ7" i="15"/>
  <c r="AP7" i="15"/>
  <c r="AO7" i="15"/>
  <c r="AN7" i="15"/>
  <c r="AL7" i="15"/>
  <c r="AE7" i="15"/>
  <c r="Z7" i="15"/>
  <c r="P7" i="15"/>
  <c r="O7" i="15"/>
  <c r="N7" i="15"/>
  <c r="M7" i="15"/>
  <c r="L7" i="15"/>
  <c r="R7" i="15" s="1"/>
  <c r="S7" i="15" s="1"/>
  <c r="K7" i="15"/>
  <c r="Q7" i="15" s="1"/>
  <c r="H36" i="15"/>
  <c r="E7" i="15"/>
  <c r="D7" i="15"/>
  <c r="C7" i="15"/>
  <c r="AR6" i="15"/>
  <c r="AQ6" i="15"/>
  <c r="AP6" i="15"/>
  <c r="AO6" i="15"/>
  <c r="AN6" i="15"/>
  <c r="AL6" i="15"/>
  <c r="AI36" i="15"/>
  <c r="AH35" i="15"/>
  <c r="AE6" i="15"/>
  <c r="AC35" i="15"/>
  <c r="AB36" i="15"/>
  <c r="Z6" i="15"/>
  <c r="W36" i="15"/>
  <c r="V35" i="15"/>
  <c r="P6" i="15"/>
  <c r="O6" i="15"/>
  <c r="N6" i="15"/>
  <c r="M6" i="15"/>
  <c r="L6" i="15"/>
  <c r="K6" i="15"/>
  <c r="I36" i="15"/>
  <c r="H35" i="15"/>
  <c r="G35" i="15"/>
  <c r="E6" i="15"/>
  <c r="D6" i="15"/>
  <c r="C6" i="15"/>
  <c r="S8" i="15" l="1"/>
  <c r="S16" i="15"/>
  <c r="S20" i="15"/>
  <c r="S32" i="15"/>
  <c r="S10" i="15"/>
  <c r="S14" i="15"/>
  <c r="S18" i="15"/>
  <c r="S22" i="15"/>
  <c r="S26" i="15"/>
  <c r="S30" i="15"/>
  <c r="S23" i="15"/>
  <c r="S12" i="15"/>
  <c r="S24" i="15"/>
  <c r="S28" i="15"/>
  <c r="H35" i="17"/>
  <c r="I35" i="17" s="1"/>
  <c r="N35" i="15"/>
  <c r="O35" i="15"/>
  <c r="L35" i="15"/>
  <c r="R6" i="15"/>
  <c r="R33" i="15"/>
  <c r="S33" i="15" s="1"/>
  <c r="K35" i="15"/>
  <c r="Q6" i="15"/>
  <c r="L36" i="15"/>
  <c r="W37" i="15" s="1"/>
  <c r="AJ36" i="15"/>
  <c r="W35" i="15"/>
  <c r="AI35" i="15"/>
  <c r="J36" i="15"/>
  <c r="V36" i="15"/>
  <c r="X36" i="15" s="1"/>
  <c r="AC36" i="15"/>
  <c r="AD36" i="15" s="1"/>
  <c r="I35" i="15"/>
  <c r="AB35" i="15"/>
  <c r="G36" i="15"/>
  <c r="K36" i="15"/>
  <c r="G6" i="6"/>
  <c r="H6" i="6"/>
  <c r="G7" i="6"/>
  <c r="S6" i="15" l="1"/>
  <c r="R36" i="15"/>
  <c r="R35" i="15"/>
  <c r="Q35" i="15"/>
  <c r="Q36" i="15"/>
  <c r="M36" i="15"/>
  <c r="V37" i="15"/>
  <c r="X37" i="15" s="1"/>
  <c r="I6" i="6"/>
  <c r="J6" i="6"/>
  <c r="R6" i="6"/>
  <c r="S6" i="6"/>
  <c r="E34" i="6" l="1"/>
  <c r="D34" i="6"/>
  <c r="C34" i="6"/>
  <c r="AK33" i="6"/>
  <c r="AJ33" i="6"/>
  <c r="AI33" i="6"/>
  <c r="AH33" i="6"/>
  <c r="AG33" i="6"/>
  <c r="AE33" i="6"/>
  <c r="AD33" i="6"/>
  <c r="AC33" i="6"/>
  <c r="AB33" i="6"/>
  <c r="Z33" i="6"/>
  <c r="Y33" i="6"/>
  <c r="X33" i="6"/>
  <c r="W33" i="6"/>
  <c r="U33" i="6"/>
  <c r="T33" i="6"/>
  <c r="S33" i="6"/>
  <c r="R33" i="6"/>
  <c r="P33" i="6"/>
  <c r="O33" i="6"/>
  <c r="N33" i="6"/>
  <c r="M33" i="6"/>
  <c r="L33" i="6"/>
  <c r="K33" i="6"/>
  <c r="J33" i="6"/>
  <c r="I33" i="6"/>
  <c r="H33" i="6"/>
  <c r="G33" i="6"/>
  <c r="E33" i="6"/>
  <c r="D33" i="6"/>
  <c r="C33" i="6"/>
  <c r="AK32" i="6"/>
  <c r="AJ32" i="6"/>
  <c r="AI32" i="6"/>
  <c r="AH32" i="6"/>
  <c r="AG32" i="6"/>
  <c r="AE32" i="6"/>
  <c r="AD32" i="6"/>
  <c r="AC32" i="6"/>
  <c r="AB32" i="6"/>
  <c r="Z32" i="6"/>
  <c r="Y32" i="6"/>
  <c r="X32" i="6"/>
  <c r="W32" i="6"/>
  <c r="U32" i="6"/>
  <c r="T32" i="6"/>
  <c r="S32" i="6"/>
  <c r="R32" i="6"/>
  <c r="P32" i="6"/>
  <c r="O32" i="6"/>
  <c r="N32" i="6"/>
  <c r="M32" i="6"/>
  <c r="L32" i="6"/>
  <c r="K32" i="6"/>
  <c r="J32" i="6"/>
  <c r="I32" i="6"/>
  <c r="H32" i="6"/>
  <c r="G32" i="6"/>
  <c r="E32" i="6"/>
  <c r="D32" i="6"/>
  <c r="C32" i="6"/>
  <c r="AK31" i="6"/>
  <c r="AJ31" i="6"/>
  <c r="AI31" i="6"/>
  <c r="AH31" i="6"/>
  <c r="AG31" i="6"/>
  <c r="AE31" i="6"/>
  <c r="AD31" i="6"/>
  <c r="AC31" i="6"/>
  <c r="AB31" i="6"/>
  <c r="Z31" i="6"/>
  <c r="Y31" i="6"/>
  <c r="X31" i="6"/>
  <c r="W31" i="6"/>
  <c r="U31" i="6"/>
  <c r="T31" i="6"/>
  <c r="S31" i="6"/>
  <c r="R31" i="6"/>
  <c r="P31" i="6"/>
  <c r="O31" i="6"/>
  <c r="N31" i="6"/>
  <c r="M31" i="6"/>
  <c r="L31" i="6"/>
  <c r="K31" i="6"/>
  <c r="J31" i="6"/>
  <c r="I31" i="6"/>
  <c r="H31" i="6"/>
  <c r="G31" i="6"/>
  <c r="E31" i="6"/>
  <c r="D31" i="6"/>
  <c r="C31" i="6"/>
  <c r="AK30" i="6"/>
  <c r="AJ30" i="6"/>
  <c r="AI30" i="6"/>
  <c r="AH30" i="6"/>
  <c r="AG30" i="6"/>
  <c r="AE30" i="6"/>
  <c r="AD30" i="6"/>
  <c r="AC30" i="6"/>
  <c r="AB30" i="6"/>
  <c r="Z30" i="6"/>
  <c r="Y30" i="6"/>
  <c r="X30" i="6"/>
  <c r="W30" i="6"/>
  <c r="U30" i="6"/>
  <c r="T30" i="6"/>
  <c r="S30" i="6"/>
  <c r="R30" i="6"/>
  <c r="P30" i="6"/>
  <c r="O30" i="6"/>
  <c r="N30" i="6"/>
  <c r="M30" i="6"/>
  <c r="L30" i="6"/>
  <c r="K30" i="6"/>
  <c r="J30" i="6"/>
  <c r="I30" i="6"/>
  <c r="H30" i="6"/>
  <c r="G30" i="6"/>
  <c r="E30" i="6"/>
  <c r="D30" i="6"/>
  <c r="C30" i="6"/>
  <c r="AK29" i="6"/>
  <c r="AJ29" i="6"/>
  <c r="AI29" i="6"/>
  <c r="AH29" i="6"/>
  <c r="AG29" i="6"/>
  <c r="AE29" i="6"/>
  <c r="AD29" i="6"/>
  <c r="AC29" i="6"/>
  <c r="AB29" i="6"/>
  <c r="Z29" i="6"/>
  <c r="Y29" i="6"/>
  <c r="X29" i="6"/>
  <c r="W29" i="6"/>
  <c r="U29" i="6"/>
  <c r="T29" i="6"/>
  <c r="S29" i="6"/>
  <c r="R29" i="6"/>
  <c r="P29" i="6"/>
  <c r="O29" i="6"/>
  <c r="N29" i="6"/>
  <c r="M29" i="6"/>
  <c r="L29" i="6"/>
  <c r="K29" i="6"/>
  <c r="J29" i="6"/>
  <c r="I29" i="6"/>
  <c r="H29" i="6"/>
  <c r="G29" i="6"/>
  <c r="E29" i="6"/>
  <c r="D29" i="6"/>
  <c r="C29" i="6"/>
  <c r="AK28" i="6"/>
  <c r="AJ28" i="6"/>
  <c r="AI28" i="6"/>
  <c r="AH28" i="6"/>
  <c r="AG28" i="6"/>
  <c r="AE28" i="6"/>
  <c r="AD28" i="6"/>
  <c r="AC28" i="6"/>
  <c r="AB28" i="6"/>
  <c r="Z28" i="6"/>
  <c r="Y28" i="6"/>
  <c r="X28" i="6"/>
  <c r="W28" i="6"/>
  <c r="U28" i="6"/>
  <c r="T28" i="6"/>
  <c r="S28" i="6"/>
  <c r="R28" i="6"/>
  <c r="P28" i="6"/>
  <c r="O28" i="6"/>
  <c r="N28" i="6"/>
  <c r="M28" i="6"/>
  <c r="L28" i="6"/>
  <c r="K28" i="6"/>
  <c r="J28" i="6"/>
  <c r="I28" i="6"/>
  <c r="H28" i="6"/>
  <c r="G28" i="6"/>
  <c r="E28" i="6"/>
  <c r="D28" i="6"/>
  <c r="C28" i="6"/>
  <c r="AK27" i="6"/>
  <c r="AJ27" i="6"/>
  <c r="AI27" i="6"/>
  <c r="AH27" i="6"/>
  <c r="AG27" i="6"/>
  <c r="AE27" i="6"/>
  <c r="AD27" i="6"/>
  <c r="AC27" i="6"/>
  <c r="AB27" i="6"/>
  <c r="Z27" i="6"/>
  <c r="Y27" i="6"/>
  <c r="X27" i="6"/>
  <c r="W27" i="6"/>
  <c r="U27" i="6"/>
  <c r="T27" i="6"/>
  <c r="S27" i="6"/>
  <c r="R27" i="6"/>
  <c r="P27" i="6"/>
  <c r="O27" i="6"/>
  <c r="N27" i="6"/>
  <c r="M27" i="6"/>
  <c r="L27" i="6"/>
  <c r="K27" i="6"/>
  <c r="J27" i="6"/>
  <c r="I27" i="6"/>
  <c r="H27" i="6"/>
  <c r="G27" i="6"/>
  <c r="E27" i="6"/>
  <c r="D27" i="6"/>
  <c r="C27" i="6"/>
  <c r="AK26" i="6"/>
  <c r="AJ26" i="6"/>
  <c r="AI26" i="6"/>
  <c r="AH26" i="6"/>
  <c r="AG26" i="6"/>
  <c r="AE26" i="6"/>
  <c r="AD26" i="6"/>
  <c r="AC26" i="6"/>
  <c r="AB26" i="6"/>
  <c r="Z26" i="6"/>
  <c r="Y26" i="6"/>
  <c r="X26" i="6"/>
  <c r="W26" i="6"/>
  <c r="U26" i="6"/>
  <c r="T26" i="6"/>
  <c r="S26" i="6"/>
  <c r="R26" i="6"/>
  <c r="P26" i="6"/>
  <c r="O26" i="6"/>
  <c r="N26" i="6"/>
  <c r="M26" i="6"/>
  <c r="L26" i="6"/>
  <c r="K26" i="6"/>
  <c r="J26" i="6"/>
  <c r="I26" i="6"/>
  <c r="H26" i="6"/>
  <c r="G26" i="6"/>
  <c r="E26" i="6"/>
  <c r="D26" i="6"/>
  <c r="C26" i="6"/>
  <c r="AK25" i="6"/>
  <c r="AJ25" i="6"/>
  <c r="AI25" i="6"/>
  <c r="AH25" i="6"/>
  <c r="AG25" i="6"/>
  <c r="AE25" i="6"/>
  <c r="AD25" i="6"/>
  <c r="AC25" i="6"/>
  <c r="AB25" i="6"/>
  <c r="Z25" i="6"/>
  <c r="Y25" i="6"/>
  <c r="X25" i="6"/>
  <c r="W25" i="6"/>
  <c r="U25" i="6"/>
  <c r="T25" i="6"/>
  <c r="S25" i="6"/>
  <c r="R25" i="6"/>
  <c r="P25" i="6"/>
  <c r="O25" i="6"/>
  <c r="N25" i="6"/>
  <c r="M25" i="6"/>
  <c r="L25" i="6"/>
  <c r="K25" i="6"/>
  <c r="J25" i="6"/>
  <c r="I25" i="6"/>
  <c r="H25" i="6"/>
  <c r="G25" i="6"/>
  <c r="E25" i="6"/>
  <c r="D25" i="6"/>
  <c r="C25" i="6"/>
  <c r="AK24" i="6"/>
  <c r="AJ24" i="6"/>
  <c r="AI24" i="6"/>
  <c r="AH24" i="6"/>
  <c r="AG24" i="6"/>
  <c r="AE24" i="6"/>
  <c r="AD24" i="6"/>
  <c r="AC24" i="6"/>
  <c r="AB24" i="6"/>
  <c r="Z24" i="6"/>
  <c r="Y24" i="6"/>
  <c r="X24" i="6"/>
  <c r="W24" i="6"/>
  <c r="U24" i="6"/>
  <c r="T24" i="6"/>
  <c r="S24" i="6"/>
  <c r="R24" i="6"/>
  <c r="P24" i="6"/>
  <c r="O24" i="6"/>
  <c r="N24" i="6"/>
  <c r="M24" i="6"/>
  <c r="L24" i="6"/>
  <c r="K24" i="6"/>
  <c r="J24" i="6"/>
  <c r="I24" i="6"/>
  <c r="H24" i="6"/>
  <c r="G24" i="6"/>
  <c r="E24" i="6"/>
  <c r="D24" i="6"/>
  <c r="C24" i="6"/>
  <c r="AK23" i="6"/>
  <c r="AJ23" i="6"/>
  <c r="AI23" i="6"/>
  <c r="AH23" i="6"/>
  <c r="AG23" i="6"/>
  <c r="AE23" i="6"/>
  <c r="AD23" i="6"/>
  <c r="AC23" i="6"/>
  <c r="AB23" i="6"/>
  <c r="Z23" i="6"/>
  <c r="Y23" i="6"/>
  <c r="X23" i="6"/>
  <c r="W23" i="6"/>
  <c r="U23" i="6"/>
  <c r="T23" i="6"/>
  <c r="S23" i="6"/>
  <c r="R23" i="6"/>
  <c r="P23" i="6"/>
  <c r="O23" i="6"/>
  <c r="N23" i="6"/>
  <c r="M23" i="6"/>
  <c r="L23" i="6"/>
  <c r="K23" i="6"/>
  <c r="J23" i="6"/>
  <c r="I23" i="6"/>
  <c r="H23" i="6"/>
  <c r="G23" i="6"/>
  <c r="E23" i="6"/>
  <c r="D23" i="6"/>
  <c r="C23" i="6"/>
  <c r="AK22" i="6"/>
  <c r="AJ22" i="6"/>
  <c r="AI22" i="6"/>
  <c r="AH22" i="6"/>
  <c r="AG22" i="6"/>
  <c r="AE22" i="6"/>
  <c r="AD22" i="6"/>
  <c r="AC22" i="6"/>
  <c r="AB22" i="6"/>
  <c r="Z22" i="6"/>
  <c r="Y22" i="6"/>
  <c r="X22" i="6"/>
  <c r="W22" i="6"/>
  <c r="U22" i="6"/>
  <c r="T22" i="6"/>
  <c r="S22" i="6"/>
  <c r="R22" i="6"/>
  <c r="P22" i="6"/>
  <c r="O22" i="6"/>
  <c r="N22" i="6"/>
  <c r="M22" i="6"/>
  <c r="L22" i="6"/>
  <c r="K22" i="6"/>
  <c r="J22" i="6"/>
  <c r="I22" i="6"/>
  <c r="H22" i="6"/>
  <c r="G22" i="6"/>
  <c r="E22" i="6"/>
  <c r="D22" i="6"/>
  <c r="C22" i="6"/>
  <c r="AK21" i="6"/>
  <c r="AJ21" i="6"/>
  <c r="AI21" i="6"/>
  <c r="AH21" i="6"/>
  <c r="AG21" i="6"/>
  <c r="AE21" i="6"/>
  <c r="AD21" i="6"/>
  <c r="AC21" i="6"/>
  <c r="AB21" i="6"/>
  <c r="Z21" i="6"/>
  <c r="Y21" i="6"/>
  <c r="X21" i="6"/>
  <c r="W21" i="6"/>
  <c r="U21" i="6"/>
  <c r="T21" i="6"/>
  <c r="S21" i="6"/>
  <c r="R21" i="6"/>
  <c r="P21" i="6"/>
  <c r="O21" i="6"/>
  <c r="N21" i="6"/>
  <c r="M21" i="6"/>
  <c r="L21" i="6"/>
  <c r="K21" i="6"/>
  <c r="J21" i="6"/>
  <c r="I21" i="6"/>
  <c r="H21" i="6"/>
  <c r="G21" i="6"/>
  <c r="E21" i="6"/>
  <c r="D21" i="6"/>
  <c r="C21" i="6"/>
  <c r="AK20" i="6"/>
  <c r="AJ20" i="6"/>
  <c r="AI20" i="6"/>
  <c r="AH20" i="6"/>
  <c r="AG20" i="6"/>
  <c r="AE20" i="6"/>
  <c r="AD20" i="6"/>
  <c r="AC20" i="6"/>
  <c r="AB20" i="6"/>
  <c r="Z20" i="6"/>
  <c r="Y20" i="6"/>
  <c r="X20" i="6"/>
  <c r="W20" i="6"/>
  <c r="U20" i="6"/>
  <c r="T20" i="6"/>
  <c r="S20" i="6"/>
  <c r="R20" i="6"/>
  <c r="P20" i="6"/>
  <c r="O20" i="6"/>
  <c r="N20" i="6"/>
  <c r="M20" i="6"/>
  <c r="L20" i="6"/>
  <c r="K20" i="6"/>
  <c r="J20" i="6"/>
  <c r="I20" i="6"/>
  <c r="H20" i="6"/>
  <c r="G20" i="6"/>
  <c r="E20" i="6"/>
  <c r="D20" i="6"/>
  <c r="C20" i="6"/>
  <c r="AK19" i="6"/>
  <c r="AJ19" i="6"/>
  <c r="AI19" i="6"/>
  <c r="AH19" i="6"/>
  <c r="AG19" i="6"/>
  <c r="AE19" i="6"/>
  <c r="AD19" i="6"/>
  <c r="AC19" i="6"/>
  <c r="AB19" i="6"/>
  <c r="Z19" i="6"/>
  <c r="Y19" i="6"/>
  <c r="X19" i="6"/>
  <c r="W19" i="6"/>
  <c r="U19" i="6"/>
  <c r="T19" i="6"/>
  <c r="S19" i="6"/>
  <c r="R19" i="6"/>
  <c r="P19" i="6"/>
  <c r="O19" i="6"/>
  <c r="N19" i="6"/>
  <c r="M19" i="6"/>
  <c r="L19" i="6"/>
  <c r="K19" i="6"/>
  <c r="J19" i="6"/>
  <c r="I19" i="6"/>
  <c r="H19" i="6"/>
  <c r="G19" i="6"/>
  <c r="E19" i="6"/>
  <c r="D19" i="6"/>
  <c r="C19" i="6"/>
  <c r="AK18" i="6"/>
  <c r="AJ18" i="6"/>
  <c r="AI18" i="6"/>
  <c r="AH18" i="6"/>
  <c r="AG18" i="6"/>
  <c r="AE18" i="6"/>
  <c r="AD18" i="6"/>
  <c r="AC18" i="6"/>
  <c r="AB18" i="6"/>
  <c r="Z18" i="6"/>
  <c r="Y18" i="6"/>
  <c r="X18" i="6"/>
  <c r="W18" i="6"/>
  <c r="U18" i="6"/>
  <c r="T18" i="6"/>
  <c r="S18" i="6"/>
  <c r="R18" i="6"/>
  <c r="P18" i="6"/>
  <c r="O18" i="6"/>
  <c r="N18" i="6"/>
  <c r="M18" i="6"/>
  <c r="L18" i="6"/>
  <c r="K18" i="6"/>
  <c r="J18" i="6"/>
  <c r="I18" i="6"/>
  <c r="H18" i="6"/>
  <c r="G18" i="6"/>
  <c r="E18" i="6"/>
  <c r="D18" i="6"/>
  <c r="C18" i="6"/>
  <c r="AK17" i="6"/>
  <c r="AJ17" i="6"/>
  <c r="AI17" i="6"/>
  <c r="AH17" i="6"/>
  <c r="AG17" i="6"/>
  <c r="AE17" i="6"/>
  <c r="AD17" i="6"/>
  <c r="AC17" i="6"/>
  <c r="AB17" i="6"/>
  <c r="Z17" i="6"/>
  <c r="Y17" i="6"/>
  <c r="X17" i="6"/>
  <c r="W17" i="6"/>
  <c r="U17" i="6"/>
  <c r="T17" i="6"/>
  <c r="S17" i="6"/>
  <c r="R17" i="6"/>
  <c r="P17" i="6"/>
  <c r="O17" i="6"/>
  <c r="N17" i="6"/>
  <c r="M17" i="6"/>
  <c r="L17" i="6"/>
  <c r="K17" i="6"/>
  <c r="J17" i="6"/>
  <c r="I17" i="6"/>
  <c r="H17" i="6"/>
  <c r="G17" i="6"/>
  <c r="E17" i="6"/>
  <c r="D17" i="6"/>
  <c r="C17" i="6"/>
  <c r="AK16" i="6"/>
  <c r="AJ16" i="6"/>
  <c r="AI16" i="6"/>
  <c r="AH16" i="6"/>
  <c r="AG16" i="6"/>
  <c r="AE16" i="6"/>
  <c r="AD16" i="6"/>
  <c r="AC16" i="6"/>
  <c r="AB16" i="6"/>
  <c r="Z16" i="6"/>
  <c r="Y16" i="6"/>
  <c r="X16" i="6"/>
  <c r="W16" i="6"/>
  <c r="U16" i="6"/>
  <c r="T16" i="6"/>
  <c r="S16" i="6"/>
  <c r="R16" i="6"/>
  <c r="P16" i="6"/>
  <c r="O16" i="6"/>
  <c r="N16" i="6"/>
  <c r="M16" i="6"/>
  <c r="L16" i="6"/>
  <c r="K16" i="6"/>
  <c r="J16" i="6"/>
  <c r="I16" i="6"/>
  <c r="H16" i="6"/>
  <c r="G16" i="6"/>
  <c r="E16" i="6"/>
  <c r="D16" i="6"/>
  <c r="C16" i="6"/>
  <c r="AK15" i="6"/>
  <c r="AJ15" i="6"/>
  <c r="AI15" i="6"/>
  <c r="AH15" i="6"/>
  <c r="AG15" i="6"/>
  <c r="AE15" i="6"/>
  <c r="AD15" i="6"/>
  <c r="AC15" i="6"/>
  <c r="AB15" i="6"/>
  <c r="Z15" i="6"/>
  <c r="Y15" i="6"/>
  <c r="X15" i="6"/>
  <c r="W15" i="6"/>
  <c r="U15" i="6"/>
  <c r="T15" i="6"/>
  <c r="S15" i="6"/>
  <c r="R15" i="6"/>
  <c r="P15" i="6"/>
  <c r="O15" i="6"/>
  <c r="N15" i="6"/>
  <c r="M15" i="6"/>
  <c r="L15" i="6"/>
  <c r="K15" i="6"/>
  <c r="J15" i="6"/>
  <c r="I15" i="6"/>
  <c r="H15" i="6"/>
  <c r="G15" i="6"/>
  <c r="E15" i="6"/>
  <c r="D15" i="6"/>
  <c r="C15" i="6"/>
  <c r="AK14" i="6"/>
  <c r="AJ14" i="6"/>
  <c r="AI14" i="6"/>
  <c r="AH14" i="6"/>
  <c r="AG14" i="6"/>
  <c r="AE14" i="6"/>
  <c r="AD14" i="6"/>
  <c r="AC14" i="6"/>
  <c r="AB14" i="6"/>
  <c r="Z14" i="6"/>
  <c r="Y14" i="6"/>
  <c r="X14" i="6"/>
  <c r="W14" i="6"/>
  <c r="U14" i="6"/>
  <c r="T14" i="6"/>
  <c r="S14" i="6"/>
  <c r="R14" i="6"/>
  <c r="P14" i="6"/>
  <c r="O14" i="6"/>
  <c r="N14" i="6"/>
  <c r="M14" i="6"/>
  <c r="L14" i="6"/>
  <c r="K14" i="6"/>
  <c r="J14" i="6"/>
  <c r="I14" i="6"/>
  <c r="H14" i="6"/>
  <c r="G14" i="6"/>
  <c r="E14" i="6"/>
  <c r="D14" i="6"/>
  <c r="C14" i="6"/>
  <c r="AK13" i="6"/>
  <c r="AJ13" i="6"/>
  <c r="AI13" i="6"/>
  <c r="AH13" i="6"/>
  <c r="AG13" i="6"/>
  <c r="AE13" i="6"/>
  <c r="AD13" i="6"/>
  <c r="AC13" i="6"/>
  <c r="AB13" i="6"/>
  <c r="Z13" i="6"/>
  <c r="Y13" i="6"/>
  <c r="X13" i="6"/>
  <c r="W13" i="6"/>
  <c r="U13" i="6"/>
  <c r="T13" i="6"/>
  <c r="S13" i="6"/>
  <c r="R13" i="6"/>
  <c r="P13" i="6"/>
  <c r="O13" i="6"/>
  <c r="N13" i="6"/>
  <c r="M13" i="6"/>
  <c r="L13" i="6"/>
  <c r="K13" i="6"/>
  <c r="J13" i="6"/>
  <c r="I13" i="6"/>
  <c r="H13" i="6"/>
  <c r="G13" i="6"/>
  <c r="E13" i="6"/>
  <c r="D13" i="6"/>
  <c r="C13" i="6"/>
  <c r="AK12" i="6"/>
  <c r="AJ12" i="6"/>
  <c r="AI12" i="6"/>
  <c r="AH12" i="6"/>
  <c r="AG12" i="6"/>
  <c r="AE12" i="6"/>
  <c r="AD12" i="6"/>
  <c r="AC12" i="6"/>
  <c r="AB12" i="6"/>
  <c r="Z12" i="6"/>
  <c r="Y12" i="6"/>
  <c r="X12" i="6"/>
  <c r="W12" i="6"/>
  <c r="U12" i="6"/>
  <c r="T12" i="6"/>
  <c r="S12" i="6"/>
  <c r="R12" i="6"/>
  <c r="P12" i="6"/>
  <c r="O12" i="6"/>
  <c r="N12" i="6"/>
  <c r="M12" i="6"/>
  <c r="L12" i="6"/>
  <c r="K12" i="6"/>
  <c r="J12" i="6"/>
  <c r="I12" i="6"/>
  <c r="H12" i="6"/>
  <c r="G12" i="6"/>
  <c r="E12" i="6"/>
  <c r="D12" i="6"/>
  <c r="C12" i="6"/>
  <c r="AK11" i="6"/>
  <c r="AJ11" i="6"/>
  <c r="AI11" i="6"/>
  <c r="AH11" i="6"/>
  <c r="AG11" i="6"/>
  <c r="AE11" i="6"/>
  <c r="AD11" i="6"/>
  <c r="AC11" i="6"/>
  <c r="AB11" i="6"/>
  <c r="Z11" i="6"/>
  <c r="Y11" i="6"/>
  <c r="X11" i="6"/>
  <c r="W11" i="6"/>
  <c r="U11" i="6"/>
  <c r="T11" i="6"/>
  <c r="S11" i="6"/>
  <c r="R11" i="6"/>
  <c r="P11" i="6"/>
  <c r="O11" i="6"/>
  <c r="N11" i="6"/>
  <c r="M11" i="6"/>
  <c r="L11" i="6"/>
  <c r="K11" i="6"/>
  <c r="J11" i="6"/>
  <c r="I11" i="6"/>
  <c r="H11" i="6"/>
  <c r="G11" i="6"/>
  <c r="E11" i="6"/>
  <c r="D11" i="6"/>
  <c r="C11" i="6"/>
  <c r="AK10" i="6"/>
  <c r="AJ10" i="6"/>
  <c r="AI10" i="6"/>
  <c r="AH10" i="6"/>
  <c r="AG10" i="6"/>
  <c r="AE10" i="6"/>
  <c r="AD10" i="6"/>
  <c r="AC10" i="6"/>
  <c r="AB10" i="6"/>
  <c r="Z10" i="6"/>
  <c r="Y10" i="6"/>
  <c r="X10" i="6"/>
  <c r="W10" i="6"/>
  <c r="U10" i="6"/>
  <c r="T10" i="6"/>
  <c r="S10" i="6"/>
  <c r="R10" i="6"/>
  <c r="P10" i="6"/>
  <c r="O10" i="6"/>
  <c r="N10" i="6"/>
  <c r="M10" i="6"/>
  <c r="L10" i="6"/>
  <c r="K10" i="6"/>
  <c r="J10" i="6"/>
  <c r="I10" i="6"/>
  <c r="H10" i="6"/>
  <c r="G10" i="6"/>
  <c r="E10" i="6"/>
  <c r="D10" i="6"/>
  <c r="C10" i="6"/>
  <c r="AK9" i="6"/>
  <c r="AJ9" i="6"/>
  <c r="AI9" i="6"/>
  <c r="AH9" i="6"/>
  <c r="AG9" i="6"/>
  <c r="AE9" i="6"/>
  <c r="AD9" i="6"/>
  <c r="AC9" i="6"/>
  <c r="AB9" i="6"/>
  <c r="Z9" i="6"/>
  <c r="Y9" i="6"/>
  <c r="X9" i="6"/>
  <c r="W9" i="6"/>
  <c r="U9" i="6"/>
  <c r="T9" i="6"/>
  <c r="S9" i="6"/>
  <c r="R9" i="6"/>
  <c r="P9" i="6"/>
  <c r="O9" i="6"/>
  <c r="N9" i="6"/>
  <c r="M9" i="6"/>
  <c r="L9" i="6"/>
  <c r="K9" i="6"/>
  <c r="J9" i="6"/>
  <c r="I9" i="6"/>
  <c r="H9" i="6"/>
  <c r="G9" i="6"/>
  <c r="E9" i="6"/>
  <c r="D9" i="6"/>
  <c r="C9" i="6"/>
  <c r="AK8" i="6"/>
  <c r="AJ8" i="6"/>
  <c r="AI8" i="6"/>
  <c r="AH8" i="6"/>
  <c r="AG8" i="6"/>
  <c r="AE8" i="6"/>
  <c r="AD8" i="6"/>
  <c r="AC8" i="6"/>
  <c r="AB8" i="6"/>
  <c r="Z8" i="6"/>
  <c r="Y8" i="6"/>
  <c r="X8" i="6"/>
  <c r="W8" i="6"/>
  <c r="U8" i="6"/>
  <c r="T8" i="6"/>
  <c r="S8" i="6"/>
  <c r="R8" i="6"/>
  <c r="P8" i="6"/>
  <c r="O8" i="6"/>
  <c r="N8" i="6"/>
  <c r="M8" i="6"/>
  <c r="L8" i="6"/>
  <c r="K8" i="6"/>
  <c r="J8" i="6"/>
  <c r="I8" i="6"/>
  <c r="H8" i="6"/>
  <c r="G8" i="6"/>
  <c r="E8" i="6"/>
  <c r="D8" i="6"/>
  <c r="C8" i="6"/>
  <c r="AK7" i="6"/>
  <c r="AJ7" i="6"/>
  <c r="AI7" i="6"/>
  <c r="AH7" i="6"/>
  <c r="AG7" i="6"/>
  <c r="AE7" i="6"/>
  <c r="AD7" i="6"/>
  <c r="AC7" i="6"/>
  <c r="AB7" i="6"/>
  <c r="Z7" i="6"/>
  <c r="Y7" i="6"/>
  <c r="X7" i="6"/>
  <c r="W7" i="6"/>
  <c r="U7" i="6"/>
  <c r="T7" i="6"/>
  <c r="S7" i="6"/>
  <c r="R7" i="6"/>
  <c r="P7" i="6"/>
  <c r="O7" i="6"/>
  <c r="N7" i="6"/>
  <c r="M7" i="6"/>
  <c r="L7" i="6"/>
  <c r="K7" i="6"/>
  <c r="J7" i="6"/>
  <c r="I7" i="6"/>
  <c r="H7" i="6"/>
  <c r="E7" i="6"/>
  <c r="D7" i="6"/>
  <c r="C7" i="6"/>
  <c r="AK6" i="6" l="1"/>
  <c r="AJ6" i="6"/>
  <c r="AI6" i="6"/>
  <c r="AH6" i="6"/>
  <c r="AG6" i="6"/>
  <c r="AE6" i="6"/>
  <c r="AD6" i="6"/>
  <c r="AC6" i="6"/>
  <c r="AB6" i="6"/>
  <c r="Z6" i="6"/>
  <c r="Y6" i="6"/>
  <c r="X6" i="6"/>
  <c r="W6" i="6"/>
  <c r="U6" i="6"/>
  <c r="T6" i="6"/>
  <c r="P6" i="6"/>
  <c r="O6" i="6"/>
  <c r="N6" i="6"/>
  <c r="M6" i="6"/>
  <c r="L6" i="6"/>
  <c r="K6" i="6"/>
  <c r="J35" i="6" l="1"/>
  <c r="J36" i="6"/>
  <c r="K35" i="6"/>
  <c r="K36" i="6"/>
  <c r="H35" i="6"/>
  <c r="H36" i="6"/>
  <c r="I35" i="6"/>
  <c r="I36" i="6"/>
  <c r="E6" i="6"/>
  <c r="D6" i="6"/>
  <c r="C6" i="6"/>
  <c r="AF36" i="12" l="1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F37" i="12" l="1"/>
  <c r="J37" i="12"/>
  <c r="N37" i="12"/>
  <c r="R37" i="12"/>
  <c r="V37" i="12"/>
  <c r="Z37" i="12"/>
  <c r="AD37" i="12"/>
  <c r="Y37" i="12"/>
  <c r="E37" i="12"/>
  <c r="I37" i="12"/>
  <c r="M37" i="12"/>
  <c r="Q37" i="12"/>
  <c r="U37" i="12"/>
  <c r="AC37" i="12"/>
  <c r="D37" i="12"/>
  <c r="H37" i="12"/>
  <c r="L37" i="12"/>
  <c r="P37" i="12"/>
  <c r="T37" i="12"/>
  <c r="X37" i="12"/>
  <c r="AB37" i="12"/>
  <c r="AF37" i="12"/>
  <c r="G37" i="12"/>
  <c r="K37" i="12"/>
  <c r="O37" i="12"/>
  <c r="S37" i="12"/>
  <c r="W37" i="12"/>
  <c r="AA37" i="12"/>
  <c r="AE37" i="12"/>
  <c r="X36" i="6" l="1"/>
  <c r="N35" i="6"/>
  <c r="L35" i="6"/>
  <c r="L36" i="6"/>
  <c r="W35" i="6"/>
  <c r="W36" i="6"/>
  <c r="X35" i="6"/>
  <c r="G36" i="6"/>
  <c r="M36" i="6" s="1"/>
  <c r="G35" i="6"/>
  <c r="O35" i="6"/>
  <c r="R35" i="6"/>
  <c r="R36" i="6"/>
  <c r="T36" i="6" s="1"/>
  <c r="AB35" i="6"/>
  <c r="AB36" i="6"/>
  <c r="AC36" i="6"/>
  <c r="AC35" i="6"/>
  <c r="S36" i="6"/>
  <c r="S35" i="6"/>
  <c r="Y36" i="6" l="1"/>
  <c r="AD36" i="6"/>
  <c r="R37" i="6"/>
  <c r="S37" i="6"/>
  <c r="T37" i="6" l="1"/>
  <c r="B44" i="5"/>
  <c r="V24" i="3" l="1"/>
  <c r="J8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G10" i="3"/>
  <c r="K25" i="3" l="1"/>
  <c r="K26" i="3"/>
  <c r="K27" i="3"/>
  <c r="K29" i="3"/>
  <c r="K28" i="3"/>
  <c r="J38" i="3"/>
  <c r="J37" i="3"/>
  <c r="J36" i="3"/>
  <c r="J35" i="3"/>
  <c r="J34" i="3"/>
  <c r="J33" i="3"/>
  <c r="J31" i="3"/>
  <c r="J30" i="3"/>
  <c r="J29" i="3"/>
  <c r="J28" i="3"/>
  <c r="J27" i="3"/>
  <c r="J26" i="3"/>
  <c r="J25" i="3"/>
  <c r="J24" i="3"/>
  <c r="J23" i="3"/>
  <c r="J22" i="3"/>
  <c r="J21" i="3"/>
  <c r="J20" i="3"/>
  <c r="J10" i="3"/>
  <c r="J15" i="3"/>
  <c r="J17" i="3"/>
  <c r="J19" i="3"/>
  <c r="J18" i="3"/>
  <c r="J16" i="3"/>
  <c r="J12" i="3"/>
  <c r="J11" i="3"/>
  <c r="J9" i="3" l="1"/>
  <c r="I38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V38" i="3"/>
  <c r="U38" i="3"/>
  <c r="T38" i="3"/>
  <c r="S38" i="3"/>
  <c r="R38" i="3"/>
  <c r="Q38" i="3"/>
  <c r="P38" i="3"/>
  <c r="O38" i="3"/>
  <c r="N38" i="3"/>
  <c r="M38" i="3"/>
  <c r="L38" i="3"/>
  <c r="K38" i="3"/>
  <c r="H38" i="3"/>
  <c r="G38" i="3"/>
  <c r="F38" i="3"/>
  <c r="E38" i="3"/>
  <c r="D38" i="3"/>
  <c r="C38" i="3"/>
  <c r="V37" i="3"/>
  <c r="U37" i="3"/>
  <c r="T37" i="3"/>
  <c r="S37" i="3"/>
  <c r="R37" i="3"/>
  <c r="Q37" i="3"/>
  <c r="P37" i="3"/>
  <c r="O37" i="3"/>
  <c r="N37" i="3"/>
  <c r="M37" i="3"/>
  <c r="L37" i="3"/>
  <c r="K37" i="3"/>
  <c r="I37" i="3"/>
  <c r="H37" i="3"/>
  <c r="G37" i="3"/>
  <c r="F37" i="3"/>
  <c r="E37" i="3"/>
  <c r="D37" i="3"/>
  <c r="C37" i="3"/>
  <c r="V36" i="3"/>
  <c r="U36" i="3"/>
  <c r="T36" i="3"/>
  <c r="S36" i="3"/>
  <c r="R36" i="3"/>
  <c r="Q36" i="3"/>
  <c r="P36" i="3"/>
  <c r="O36" i="3"/>
  <c r="N36" i="3"/>
  <c r="M36" i="3"/>
  <c r="L36" i="3"/>
  <c r="K36" i="3"/>
  <c r="I36" i="3"/>
  <c r="H36" i="3"/>
  <c r="G36" i="3"/>
  <c r="F36" i="3"/>
  <c r="E36" i="3"/>
  <c r="D36" i="3"/>
  <c r="C36" i="3"/>
  <c r="V35" i="3"/>
  <c r="U35" i="3"/>
  <c r="T35" i="3"/>
  <c r="S35" i="3"/>
  <c r="R35" i="3"/>
  <c r="Q35" i="3"/>
  <c r="P35" i="3"/>
  <c r="O35" i="3"/>
  <c r="N35" i="3"/>
  <c r="M35" i="3"/>
  <c r="L35" i="3"/>
  <c r="K35" i="3"/>
  <c r="I35" i="3"/>
  <c r="H35" i="3"/>
  <c r="G35" i="3"/>
  <c r="F35" i="3"/>
  <c r="E35" i="3"/>
  <c r="D35" i="3"/>
  <c r="C35" i="3"/>
  <c r="V34" i="3"/>
  <c r="U34" i="3"/>
  <c r="T34" i="3"/>
  <c r="S34" i="3"/>
  <c r="R34" i="3"/>
  <c r="Q34" i="3"/>
  <c r="P34" i="3"/>
  <c r="O34" i="3"/>
  <c r="N34" i="3"/>
  <c r="M34" i="3"/>
  <c r="L34" i="3"/>
  <c r="K34" i="3"/>
  <c r="I34" i="3"/>
  <c r="H34" i="3"/>
  <c r="G34" i="3"/>
  <c r="F34" i="3"/>
  <c r="E34" i="3"/>
  <c r="D34" i="3"/>
  <c r="C34" i="3"/>
  <c r="V33" i="3"/>
  <c r="U33" i="3"/>
  <c r="T33" i="3"/>
  <c r="S33" i="3"/>
  <c r="R33" i="3"/>
  <c r="Q33" i="3"/>
  <c r="P33" i="3"/>
  <c r="O33" i="3"/>
  <c r="N33" i="3"/>
  <c r="M33" i="3"/>
  <c r="L33" i="3"/>
  <c r="K33" i="3"/>
  <c r="I33" i="3"/>
  <c r="H33" i="3"/>
  <c r="G33" i="3"/>
  <c r="F33" i="3"/>
  <c r="E33" i="3"/>
  <c r="D33" i="3"/>
  <c r="C33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V31" i="3"/>
  <c r="U31" i="3"/>
  <c r="T31" i="3"/>
  <c r="S31" i="3"/>
  <c r="R31" i="3"/>
  <c r="Q31" i="3"/>
  <c r="P31" i="3"/>
  <c r="O31" i="3"/>
  <c r="N31" i="3"/>
  <c r="M31" i="3"/>
  <c r="L31" i="3"/>
  <c r="K31" i="3"/>
  <c r="I31" i="3"/>
  <c r="H31" i="3"/>
  <c r="G31" i="3"/>
  <c r="F31" i="3"/>
  <c r="E31" i="3"/>
  <c r="D31" i="3"/>
  <c r="C31" i="3"/>
  <c r="V30" i="3"/>
  <c r="U30" i="3"/>
  <c r="T30" i="3"/>
  <c r="S30" i="3"/>
  <c r="R30" i="3"/>
  <c r="Q30" i="3"/>
  <c r="P30" i="3"/>
  <c r="O30" i="3"/>
  <c r="N30" i="3"/>
  <c r="M30" i="3"/>
  <c r="L30" i="3"/>
  <c r="K30" i="3"/>
  <c r="I30" i="3"/>
  <c r="H30" i="3"/>
  <c r="G30" i="3"/>
  <c r="F30" i="3"/>
  <c r="E30" i="3"/>
  <c r="D30" i="3"/>
  <c r="C30" i="3"/>
  <c r="V29" i="3"/>
  <c r="U29" i="3"/>
  <c r="T29" i="3"/>
  <c r="S29" i="3"/>
  <c r="R29" i="3"/>
  <c r="Q29" i="3"/>
  <c r="P29" i="3"/>
  <c r="O29" i="3"/>
  <c r="N29" i="3"/>
  <c r="M29" i="3"/>
  <c r="L29" i="3"/>
  <c r="I29" i="3"/>
  <c r="H29" i="3"/>
  <c r="G29" i="3"/>
  <c r="F29" i="3"/>
  <c r="E29" i="3"/>
  <c r="D29" i="3"/>
  <c r="C29" i="3"/>
  <c r="V28" i="3"/>
  <c r="U28" i="3"/>
  <c r="T28" i="3"/>
  <c r="S28" i="3"/>
  <c r="R28" i="3"/>
  <c r="Q28" i="3"/>
  <c r="P28" i="3"/>
  <c r="O28" i="3"/>
  <c r="N28" i="3"/>
  <c r="M28" i="3"/>
  <c r="L28" i="3"/>
  <c r="I28" i="3"/>
  <c r="H28" i="3"/>
  <c r="G28" i="3"/>
  <c r="F28" i="3"/>
  <c r="E28" i="3"/>
  <c r="D28" i="3"/>
  <c r="C28" i="3"/>
  <c r="V27" i="3"/>
  <c r="U27" i="3"/>
  <c r="T27" i="3"/>
  <c r="S27" i="3"/>
  <c r="R27" i="3"/>
  <c r="Q27" i="3"/>
  <c r="P27" i="3"/>
  <c r="O27" i="3"/>
  <c r="N27" i="3"/>
  <c r="M27" i="3"/>
  <c r="L27" i="3"/>
  <c r="I27" i="3"/>
  <c r="H27" i="3"/>
  <c r="G27" i="3"/>
  <c r="F27" i="3"/>
  <c r="E27" i="3"/>
  <c r="D27" i="3"/>
  <c r="C27" i="3"/>
  <c r="V26" i="3"/>
  <c r="U26" i="3"/>
  <c r="T26" i="3"/>
  <c r="S26" i="3"/>
  <c r="R26" i="3"/>
  <c r="Q26" i="3"/>
  <c r="P26" i="3"/>
  <c r="O26" i="3"/>
  <c r="N26" i="3"/>
  <c r="M26" i="3"/>
  <c r="L26" i="3"/>
  <c r="I26" i="3"/>
  <c r="H26" i="3"/>
  <c r="G26" i="3"/>
  <c r="F26" i="3"/>
  <c r="E26" i="3"/>
  <c r="D26" i="3"/>
  <c r="C26" i="3"/>
  <c r="V25" i="3"/>
  <c r="U25" i="3"/>
  <c r="T25" i="3"/>
  <c r="S25" i="3"/>
  <c r="R25" i="3"/>
  <c r="Q25" i="3"/>
  <c r="P25" i="3"/>
  <c r="O25" i="3"/>
  <c r="N25" i="3"/>
  <c r="M25" i="3"/>
  <c r="L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I24" i="3"/>
  <c r="H24" i="3"/>
  <c r="G24" i="3"/>
  <c r="F24" i="3"/>
  <c r="E24" i="3"/>
  <c r="D24" i="3"/>
  <c r="C24" i="3"/>
  <c r="V23" i="3"/>
  <c r="U23" i="3"/>
  <c r="T23" i="3"/>
  <c r="S23" i="3"/>
  <c r="R23" i="3"/>
  <c r="Q23" i="3"/>
  <c r="P23" i="3"/>
  <c r="O23" i="3"/>
  <c r="N23" i="3"/>
  <c r="M23" i="3"/>
  <c r="L23" i="3"/>
  <c r="K23" i="3"/>
  <c r="I23" i="3"/>
  <c r="H23" i="3"/>
  <c r="G23" i="3"/>
  <c r="F23" i="3"/>
  <c r="E23" i="3"/>
  <c r="D23" i="3"/>
  <c r="C23" i="3"/>
  <c r="V22" i="3"/>
  <c r="U22" i="3"/>
  <c r="T22" i="3"/>
  <c r="S22" i="3"/>
  <c r="R22" i="3"/>
  <c r="Q22" i="3"/>
  <c r="P22" i="3"/>
  <c r="O22" i="3"/>
  <c r="N22" i="3"/>
  <c r="M22" i="3"/>
  <c r="L22" i="3"/>
  <c r="K22" i="3"/>
  <c r="I22" i="3"/>
  <c r="H22" i="3"/>
  <c r="G22" i="3"/>
  <c r="F22" i="3"/>
  <c r="E22" i="3"/>
  <c r="D22" i="3"/>
  <c r="C22" i="3"/>
  <c r="V21" i="3"/>
  <c r="U21" i="3"/>
  <c r="T21" i="3"/>
  <c r="S21" i="3"/>
  <c r="R21" i="3"/>
  <c r="Q21" i="3"/>
  <c r="P21" i="3"/>
  <c r="O21" i="3"/>
  <c r="N21" i="3"/>
  <c r="M21" i="3"/>
  <c r="L21" i="3"/>
  <c r="K21" i="3"/>
  <c r="I21" i="3"/>
  <c r="H21" i="3"/>
  <c r="G21" i="3"/>
  <c r="F21" i="3"/>
  <c r="E21" i="3"/>
  <c r="D21" i="3"/>
  <c r="C21" i="3"/>
  <c r="V20" i="3"/>
  <c r="U20" i="3"/>
  <c r="T20" i="3"/>
  <c r="S20" i="3"/>
  <c r="R20" i="3"/>
  <c r="Q20" i="3"/>
  <c r="P20" i="3"/>
  <c r="O20" i="3"/>
  <c r="N20" i="3"/>
  <c r="M20" i="3"/>
  <c r="L20" i="3"/>
  <c r="K20" i="3"/>
  <c r="I20" i="3"/>
  <c r="H20" i="3"/>
  <c r="G20" i="3"/>
  <c r="F20" i="3"/>
  <c r="E20" i="3"/>
  <c r="D20" i="3"/>
  <c r="C20" i="3"/>
  <c r="V19" i="3"/>
  <c r="U19" i="3"/>
  <c r="T19" i="3"/>
  <c r="S19" i="3"/>
  <c r="R19" i="3"/>
  <c r="Q19" i="3"/>
  <c r="P19" i="3"/>
  <c r="O19" i="3"/>
  <c r="N19" i="3"/>
  <c r="M19" i="3"/>
  <c r="L19" i="3"/>
  <c r="K19" i="3"/>
  <c r="I19" i="3"/>
  <c r="H19" i="3"/>
  <c r="G19" i="3"/>
  <c r="F19" i="3"/>
  <c r="E19" i="3"/>
  <c r="D19" i="3"/>
  <c r="C19" i="3"/>
  <c r="V18" i="3"/>
  <c r="U18" i="3"/>
  <c r="T18" i="3"/>
  <c r="S18" i="3"/>
  <c r="R18" i="3"/>
  <c r="Q18" i="3"/>
  <c r="P18" i="3"/>
  <c r="O18" i="3"/>
  <c r="N18" i="3"/>
  <c r="M18" i="3"/>
  <c r="L18" i="3"/>
  <c r="K18" i="3"/>
  <c r="I18" i="3"/>
  <c r="H18" i="3"/>
  <c r="G18" i="3"/>
  <c r="F18" i="3"/>
  <c r="E18" i="3"/>
  <c r="D18" i="3"/>
  <c r="C18" i="3"/>
  <c r="V17" i="3"/>
  <c r="U17" i="3"/>
  <c r="T17" i="3"/>
  <c r="S17" i="3"/>
  <c r="R17" i="3"/>
  <c r="Q17" i="3"/>
  <c r="P17" i="3"/>
  <c r="O17" i="3"/>
  <c r="N17" i="3"/>
  <c r="M17" i="3"/>
  <c r="L17" i="3"/>
  <c r="K17" i="3"/>
  <c r="I17" i="3"/>
  <c r="H17" i="3"/>
  <c r="G17" i="3"/>
  <c r="F17" i="3"/>
  <c r="E17" i="3"/>
  <c r="D17" i="3"/>
  <c r="C17" i="3"/>
  <c r="V16" i="3"/>
  <c r="U16" i="3"/>
  <c r="T16" i="3"/>
  <c r="S16" i="3"/>
  <c r="R16" i="3"/>
  <c r="Q16" i="3"/>
  <c r="P16" i="3"/>
  <c r="O16" i="3"/>
  <c r="N16" i="3"/>
  <c r="M16" i="3"/>
  <c r="L16" i="3"/>
  <c r="K16" i="3"/>
  <c r="I16" i="3"/>
  <c r="H16" i="3"/>
  <c r="G16" i="3"/>
  <c r="F16" i="3"/>
  <c r="E16" i="3"/>
  <c r="D16" i="3"/>
  <c r="C16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H15" i="3"/>
  <c r="G15" i="3"/>
  <c r="F15" i="3"/>
  <c r="E15" i="3"/>
  <c r="D15" i="3"/>
  <c r="C15" i="3"/>
  <c r="V12" i="3"/>
  <c r="U12" i="3"/>
  <c r="T12" i="3"/>
  <c r="S12" i="3"/>
  <c r="R12" i="3"/>
  <c r="Q12" i="3"/>
  <c r="P12" i="3"/>
  <c r="O12" i="3"/>
  <c r="N12" i="3"/>
  <c r="M12" i="3"/>
  <c r="L12" i="3"/>
  <c r="K12" i="3"/>
  <c r="I12" i="3"/>
  <c r="H12" i="3"/>
  <c r="G12" i="3"/>
  <c r="F12" i="3"/>
  <c r="E12" i="3"/>
  <c r="D12" i="3"/>
  <c r="C12" i="3"/>
  <c r="J40" i="3" l="1"/>
  <c r="G44" i="5" s="1"/>
  <c r="V11" i="3"/>
  <c r="U11" i="3"/>
  <c r="T11" i="3"/>
  <c r="S11" i="3"/>
  <c r="R11" i="3"/>
  <c r="Q11" i="3"/>
  <c r="P11" i="3"/>
  <c r="O11" i="3"/>
  <c r="N11" i="3"/>
  <c r="M11" i="3"/>
  <c r="L11" i="3"/>
  <c r="K11" i="3"/>
  <c r="I11" i="3"/>
  <c r="H11" i="3"/>
  <c r="G11" i="3"/>
  <c r="F11" i="3"/>
  <c r="E11" i="3"/>
  <c r="D11" i="3"/>
  <c r="C11" i="3"/>
  <c r="V10" i="3" l="1"/>
  <c r="U10" i="3"/>
  <c r="T10" i="3"/>
  <c r="S10" i="3"/>
  <c r="R10" i="3"/>
  <c r="Q10" i="3"/>
  <c r="P10" i="3"/>
  <c r="O10" i="3"/>
  <c r="N10" i="3"/>
  <c r="M10" i="3"/>
  <c r="L10" i="3"/>
  <c r="K10" i="3"/>
  <c r="I10" i="3"/>
  <c r="H10" i="3"/>
  <c r="F10" i="3"/>
  <c r="E10" i="3"/>
  <c r="D10" i="3"/>
  <c r="C10" i="3"/>
  <c r="V9" i="3" l="1"/>
  <c r="U9" i="3"/>
  <c r="T9" i="3"/>
  <c r="S9" i="3"/>
  <c r="R9" i="3"/>
  <c r="Q9" i="3"/>
  <c r="P9" i="3"/>
  <c r="P40" i="3" s="1"/>
  <c r="M44" i="5" s="1"/>
  <c r="O9" i="3"/>
  <c r="N9" i="3"/>
  <c r="N40" i="3" s="1"/>
  <c r="K44" i="5" s="1"/>
  <c r="M9" i="3"/>
  <c r="M40" i="3" s="1"/>
  <c r="J44" i="5" s="1"/>
  <c r="L9" i="3"/>
  <c r="L40" i="3" s="1"/>
  <c r="I44" i="5" s="1"/>
  <c r="K9" i="3"/>
  <c r="I9" i="3"/>
  <c r="H9" i="3"/>
  <c r="H40" i="3" s="1"/>
  <c r="E44" i="5" s="1"/>
  <c r="G9" i="3"/>
  <c r="G40" i="3" s="1"/>
  <c r="D44" i="5" s="1"/>
  <c r="F9" i="3"/>
  <c r="F40" i="3" s="1"/>
  <c r="C44" i="5" s="1"/>
  <c r="E9" i="3"/>
  <c r="D9" i="3"/>
  <c r="C9" i="3"/>
  <c r="I40" i="3" l="1"/>
  <c r="F44" i="5" s="1"/>
  <c r="R40" i="3"/>
  <c r="O44" i="5" s="1"/>
  <c r="Q40" i="3"/>
  <c r="N44" i="5" s="1"/>
  <c r="V8" i="3"/>
  <c r="T8" i="3"/>
  <c r="S8" i="3"/>
  <c r="R8" i="3"/>
  <c r="Q8" i="3"/>
  <c r="P8" i="3"/>
  <c r="O8" i="3"/>
  <c r="N8" i="3"/>
  <c r="M8" i="3"/>
  <c r="L8" i="3"/>
  <c r="K8" i="3"/>
  <c r="I8" i="3"/>
  <c r="H8" i="3"/>
  <c r="G8" i="3"/>
  <c r="F8" i="3"/>
  <c r="E8" i="3"/>
  <c r="D8" i="3"/>
  <c r="C8" i="3"/>
  <c r="J41" i="3" l="1"/>
  <c r="H41" i="3"/>
  <c r="M39" i="3"/>
  <c r="Q39" i="3"/>
  <c r="L39" i="3"/>
  <c r="P39" i="3"/>
  <c r="G39" i="3"/>
  <c r="F39" i="3"/>
  <c r="F41" i="3" l="1"/>
</calcChain>
</file>

<file path=xl/comments1.xml><?xml version="1.0" encoding="utf-8"?>
<comments xmlns="http://schemas.openxmlformats.org/spreadsheetml/2006/main">
  <authors>
    <author>sycho</author>
  </authors>
  <commentList>
    <comment ref="N33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FPGA </t>
        </r>
        <r>
          <rPr>
            <sz val="9"/>
            <color indexed="81"/>
            <rFont val="돋움"/>
            <family val="3"/>
            <charset val="129"/>
          </rPr>
          <t>환경에서의</t>
        </r>
        <r>
          <rPr>
            <sz val="9"/>
            <color indexed="81"/>
            <rFont val="Tahoma"/>
            <family val="2"/>
          </rPr>
          <t xml:space="preserve"> test vector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coverage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Cortex-M3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2.xml><?xml version="1.0" encoding="utf-8"?>
<comments xmlns="http://schemas.openxmlformats.org/spreadsheetml/2006/main">
  <authors>
    <author>sycho</author>
  </authors>
  <commentList>
    <comment ref="N33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FPGA </t>
        </r>
        <r>
          <rPr>
            <sz val="9"/>
            <color indexed="81"/>
            <rFont val="돋움"/>
            <family val="3"/>
            <charset val="129"/>
          </rPr>
          <t>환경에서의</t>
        </r>
        <r>
          <rPr>
            <sz val="9"/>
            <color indexed="81"/>
            <rFont val="Tahoma"/>
            <family val="2"/>
          </rPr>
          <t xml:space="preserve"> test vector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coverage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Cortex-M3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3.xml><?xml version="1.0" encoding="utf-8"?>
<comments xmlns="http://schemas.openxmlformats.org/spreadsheetml/2006/main">
  <authors>
    <author>sycho</author>
  </authors>
  <commentList>
    <comment ref="N33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FPGA </t>
        </r>
        <r>
          <rPr>
            <sz val="9"/>
            <color indexed="81"/>
            <rFont val="돋움"/>
            <family val="3"/>
            <charset val="129"/>
          </rPr>
          <t>환경에서의</t>
        </r>
        <r>
          <rPr>
            <sz val="9"/>
            <color indexed="81"/>
            <rFont val="Tahoma"/>
            <family val="2"/>
          </rPr>
          <t xml:space="preserve"> test vector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coverage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Cortex-M3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4.xml><?xml version="1.0" encoding="utf-8"?>
<comments xmlns="http://schemas.openxmlformats.org/spreadsheetml/2006/main">
  <authors>
    <author>sycho</author>
  </authors>
  <commentList>
    <comment ref="N33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FPGA </t>
        </r>
        <r>
          <rPr>
            <sz val="9"/>
            <color indexed="81"/>
            <rFont val="돋움"/>
            <family val="3"/>
            <charset val="129"/>
          </rPr>
          <t>환경에서의</t>
        </r>
        <r>
          <rPr>
            <sz val="9"/>
            <color indexed="81"/>
            <rFont val="Tahoma"/>
            <family val="2"/>
          </rPr>
          <t xml:space="preserve"> test vector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coverage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Cortex-M3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5.xml><?xml version="1.0" encoding="utf-8"?>
<comments xmlns="http://schemas.openxmlformats.org/spreadsheetml/2006/main">
  <authors>
    <author>sycho</author>
  </authors>
  <commentList>
    <comment ref="X4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N/A -&gt; etc.</t>
        </r>
      </text>
    </comment>
  </commentList>
</comments>
</file>

<file path=xl/sharedStrings.xml><?xml version="1.0" encoding="utf-8"?>
<sst xmlns="http://schemas.openxmlformats.org/spreadsheetml/2006/main" count="449" uniqueCount="146">
  <si>
    <t>Cases</t>
    <phoneticPr fontId="1" type="noConversion"/>
  </si>
  <si>
    <t>No.</t>
    <phoneticPr fontId="1" type="noConversion"/>
  </si>
  <si>
    <t>IP</t>
    <phoneticPr fontId="1" type="noConversion"/>
  </si>
  <si>
    <t>Simulation Verification</t>
    <phoneticPr fontId="1" type="noConversion"/>
  </si>
  <si>
    <t>FPGA Verification</t>
    <phoneticPr fontId="1" type="noConversion"/>
  </si>
  <si>
    <t>RTL</t>
    <phoneticPr fontId="1" type="noConversion"/>
  </si>
  <si>
    <t>POST</t>
    <phoneticPr fontId="1" type="noConversion"/>
  </si>
  <si>
    <t>Pass</t>
    <phoneticPr fontId="1" type="noConversion"/>
  </si>
  <si>
    <t>Prog</t>
    <phoneticPr fontId="1" type="noConversion"/>
  </si>
  <si>
    <t>Remark / Coverage Waive</t>
    <phoneticPr fontId="1" type="noConversion"/>
  </si>
  <si>
    <t>Done</t>
    <phoneticPr fontId="1" type="noConversion"/>
  </si>
  <si>
    <t xml:space="preserve"> 해당 항목 완료</t>
    <phoneticPr fontId="1" type="noConversion"/>
  </si>
  <si>
    <t>Last Updated</t>
    <phoneticPr fontId="1" type="noConversion"/>
  </si>
  <si>
    <t>RTL</t>
    <phoneticPr fontId="1" type="noConversion"/>
  </si>
  <si>
    <t>FPGA</t>
    <phoneticPr fontId="1" type="noConversion"/>
  </si>
  <si>
    <t>REV01</t>
    <phoneticPr fontId="1" type="noConversion"/>
  </si>
  <si>
    <t>RTL 
Designer</t>
    <phoneticPr fontId="1" type="noConversion"/>
  </si>
  <si>
    <t>Verification
Engineer</t>
    <phoneticPr fontId="1" type="noConversion"/>
  </si>
  <si>
    <t xml:space="preserve"> 해당 사항 없음</t>
    <phoneticPr fontId="1" type="noConversion"/>
  </si>
  <si>
    <t>Date</t>
    <phoneticPr fontId="1" type="noConversion"/>
  </si>
  <si>
    <t>FPGA Verification</t>
    <phoneticPr fontId="1" type="noConversion"/>
  </si>
  <si>
    <t>Remark</t>
    <phoneticPr fontId="1" type="noConversion"/>
  </si>
  <si>
    <t>Pass</t>
    <phoneticPr fontId="1" type="noConversion"/>
  </si>
  <si>
    <t>Prog</t>
    <phoneticPr fontId="1" type="noConversion"/>
  </si>
  <si>
    <t>Armstrong Verification Summary History</t>
    <phoneticPr fontId="1" type="noConversion"/>
  </si>
  <si>
    <t>draft version</t>
    <phoneticPr fontId="1" type="noConversion"/>
  </si>
  <si>
    <t>Coverage
S.A(F0,F1)</t>
    <phoneticPr fontId="1" type="noConversion"/>
  </si>
  <si>
    <t>Coverage
SoC(F2,F3)</t>
    <phoneticPr fontId="1" type="noConversion"/>
  </si>
  <si>
    <t>Armstrong Verification Check List Summary</t>
    <phoneticPr fontId="1" type="noConversion"/>
  </si>
  <si>
    <t>Coverage
SoC / S.A</t>
    <phoneticPr fontId="1" type="noConversion"/>
  </si>
  <si>
    <t>N/A</t>
    <phoneticPr fontId="1" type="noConversion"/>
  </si>
  <si>
    <t>-</t>
    <phoneticPr fontId="1" type="noConversion"/>
  </si>
  <si>
    <t>Sub Average</t>
    <phoneticPr fontId="1" type="noConversion"/>
  </si>
  <si>
    <t>Sub Sum</t>
    <phoneticPr fontId="1" type="noConversion"/>
  </si>
  <si>
    <t>Total Item/Progress/Coverage</t>
    <phoneticPr fontId="1" type="noConversion"/>
  </si>
  <si>
    <t>dd79</t>
    <phoneticPr fontId="1" type="noConversion"/>
  </si>
  <si>
    <t>RTL Sim.</t>
    <phoneticPr fontId="1" type="noConversion"/>
  </si>
  <si>
    <t>POST Sim.</t>
    <phoneticPr fontId="1" type="noConversion"/>
  </si>
  <si>
    <t>ASIC</t>
    <phoneticPr fontId="1" type="noConversion"/>
  </si>
  <si>
    <t>Prog.</t>
    <phoneticPr fontId="1" type="noConversion"/>
  </si>
  <si>
    <t>Cov. SoC
(F2,F3)</t>
    <phoneticPr fontId="1" type="noConversion"/>
  </si>
  <si>
    <t>Cov. S.A
(F0,F1)</t>
    <phoneticPr fontId="1" type="noConversion"/>
  </si>
  <si>
    <t>Total</t>
    <phoneticPr fontId="1" type="noConversion"/>
  </si>
  <si>
    <t>test category</t>
    <phoneticPr fontId="1" type="noConversion"/>
  </si>
  <si>
    <t>test level</t>
    <phoneticPr fontId="1" type="noConversion"/>
  </si>
  <si>
    <t>RTL</t>
    <phoneticPr fontId="1" type="noConversion"/>
  </si>
  <si>
    <t>FPGA</t>
    <phoneticPr fontId="1" type="noConversion"/>
  </si>
  <si>
    <t>POST</t>
    <phoneticPr fontId="1" type="noConversion"/>
  </si>
  <si>
    <t>ASIC</t>
    <phoneticPr fontId="1" type="noConversion"/>
  </si>
  <si>
    <t>Sanity Test</t>
    <phoneticPr fontId="1" type="noConversion"/>
  </si>
  <si>
    <t>Function Test</t>
    <phoneticPr fontId="1" type="noConversion"/>
  </si>
  <si>
    <t>Comprehensive Test</t>
    <phoneticPr fontId="1" type="noConversion"/>
  </si>
  <si>
    <t>Performance &amp; Regression Test</t>
    <phoneticPr fontId="1" type="noConversion"/>
  </si>
  <si>
    <t>Specific &amp; Etc. Test</t>
    <phoneticPr fontId="1" type="noConversion"/>
  </si>
  <si>
    <t>F0</t>
    <phoneticPr fontId="1" type="noConversion"/>
  </si>
  <si>
    <t>F1</t>
    <phoneticPr fontId="1" type="noConversion"/>
  </si>
  <si>
    <t>F1_all</t>
    <phoneticPr fontId="1" type="noConversion"/>
  </si>
  <si>
    <t>F2_all</t>
    <phoneticPr fontId="1" type="noConversion"/>
  </si>
  <si>
    <t>F3</t>
    <phoneticPr fontId="1" type="noConversion"/>
  </si>
  <si>
    <t>F3_all</t>
    <phoneticPr fontId="1" type="noConversion"/>
  </si>
  <si>
    <t>Total</t>
    <phoneticPr fontId="1" type="noConversion"/>
  </si>
  <si>
    <t>etc.</t>
    <phoneticPr fontId="1" type="noConversion"/>
  </si>
  <si>
    <t>document revision history</t>
    <phoneticPr fontId="1" type="noConversion"/>
  </si>
  <si>
    <t>rev</t>
    <phoneticPr fontId="1" type="noConversion"/>
  </si>
  <si>
    <t>date</t>
    <phoneticPr fontId="1" type="noConversion"/>
  </si>
  <si>
    <t>description</t>
    <phoneticPr fontId="1" type="noConversion"/>
  </si>
  <si>
    <t>author</t>
    <phoneticPr fontId="1" type="noConversion"/>
  </si>
  <si>
    <t>양식 초안 작성</t>
    <phoneticPr fontId="1" type="noConversion"/>
  </si>
  <si>
    <t>조성엽</t>
    <phoneticPr fontId="1" type="noConversion"/>
  </si>
  <si>
    <t>Date</t>
    <phoneticPr fontId="1" type="noConversion"/>
  </si>
  <si>
    <t>last updated:</t>
    <phoneticPr fontId="1" type="noConversion"/>
  </si>
  <si>
    <t>-</t>
    <phoneticPr fontId="1" type="noConversion"/>
  </si>
  <si>
    <t>Sub Sum</t>
    <phoneticPr fontId="1" type="noConversion"/>
  </si>
  <si>
    <t>Columbus Verification Status Summary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</si>
  <si>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</si>
  <si>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</si>
  <si>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</si>
  <si>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F1~3</t>
    <phoneticPr fontId="1" type="noConversion"/>
  </si>
  <si>
    <t>SoC Design Verification Checklist</t>
    <phoneticPr fontId="30" type="noConversion"/>
  </si>
  <si>
    <t xml:space="preserve"> Template version 0.1</t>
    <phoneticPr fontId="30" type="noConversion"/>
  </si>
  <si>
    <t>Approval</t>
    <phoneticPr fontId="30" type="noConversion"/>
  </si>
  <si>
    <t>Team / Name</t>
    <phoneticPr fontId="30" type="noConversion"/>
  </si>
  <si>
    <t>UFS SoC / 홍길동</t>
    <phoneticPr fontId="30" type="noConversion"/>
  </si>
  <si>
    <t>Soc Architecture / 나도야</t>
    <phoneticPr fontId="30" type="noConversion"/>
  </si>
  <si>
    <t>UFS SoC / 독고탁</t>
    <phoneticPr fontId="30" type="noConversion"/>
  </si>
  <si>
    <t>e-mail</t>
    <phoneticPr fontId="1" type="noConversion"/>
  </si>
  <si>
    <t>xxx.xxx@sk.com</t>
    <phoneticPr fontId="1" type="noConversion"/>
  </si>
  <si>
    <t>Phone</t>
    <phoneticPr fontId="1" type="noConversion"/>
  </si>
  <si>
    <t>+82-01-5678-1234</t>
    <phoneticPr fontId="1" type="noConversion"/>
  </si>
  <si>
    <t>+82-01-5678-5678</t>
    <phoneticPr fontId="1" type="noConversion"/>
  </si>
  <si>
    <t>+82-01-5678-4321</t>
    <phoneticPr fontId="1" type="noConversion"/>
  </si>
  <si>
    <t>○ Product</t>
    <phoneticPr fontId="1" type="noConversion"/>
  </si>
  <si>
    <t>UFS2.0 G3X2L Armstrong</t>
    <phoneticPr fontId="1" type="noConversion"/>
  </si>
  <si>
    <t>○ 작성목적</t>
    <phoneticPr fontId="1" type="noConversion"/>
  </si>
  <si>
    <t>이 문서는 P4C Design 수행 시 RTL Design 담당자와 Design Verification 담당자들이 Tech bench를 통해 수행한 Design 검증 항목이 누락되지 않도록 하고, RTL Freeze의 판단 근거로 삼기 위한 목적으로 작성함</t>
    <phoneticPr fontId="1" type="noConversion"/>
  </si>
  <si>
    <t>○ Audience</t>
    <phoneticPr fontId="1" type="noConversion"/>
  </si>
  <si>
    <t>Author</t>
  </si>
  <si>
    <t>◎</t>
  </si>
  <si>
    <t>Head</t>
  </si>
  <si>
    <t>VPs</t>
  </si>
  <si>
    <t>Arch.</t>
  </si>
  <si>
    <t>SoC</t>
  </si>
  <si>
    <t>FW</t>
  </si>
  <si>
    <t>PE</t>
  </si>
  <si>
    <t>AE</t>
  </si>
  <si>
    <t>FPP</t>
  </si>
  <si>
    <t>NAND</t>
  </si>
  <si>
    <t>QRA</t>
  </si>
  <si>
    <t>Distribution</t>
  </si>
  <si>
    <t>○</t>
  </si>
  <si>
    <t>Bundang</t>
  </si>
  <si>
    <t>Not Involved</t>
  </si>
  <si>
    <t>HMS</t>
  </si>
  <si>
    <t>FST</t>
  </si>
  <si>
    <t>SFS</t>
  </si>
  <si>
    <r>
      <t>3</t>
    </r>
    <r>
      <rPr>
        <b/>
        <vertAlign val="superscript"/>
        <sz val="11"/>
        <color theme="1"/>
        <rFont val="맑은 고딕"/>
        <family val="3"/>
        <charset val="129"/>
      </rPr>
      <t>rd</t>
    </r>
    <r>
      <rPr>
        <b/>
        <sz val="11"/>
        <color theme="1"/>
        <rFont val="맑은 고딕"/>
        <family val="3"/>
        <charset val="129"/>
      </rPr>
      <t xml:space="preserve"> party</t>
    </r>
  </si>
  <si>
    <t>○ Document Revision History</t>
  </si>
  <si>
    <t>Version Number</t>
  </si>
  <si>
    <t>Date</t>
  </si>
  <si>
    <t>Summary of Changes</t>
  </si>
  <si>
    <t>V1.0</t>
    <phoneticPr fontId="1" type="noConversion"/>
  </si>
  <si>
    <t>April 21th, 2015</t>
    <phoneticPr fontId="1" type="noConversion"/>
  </si>
  <si>
    <t>UFS SoC / 홍길동</t>
    <phoneticPr fontId="1" type="noConversion"/>
  </si>
  <si>
    <t>Published as Initial Draft Version</t>
  </si>
  <si>
    <t>○ Flow and position of the report</t>
    <phoneticPr fontId="1" type="noConversion"/>
  </si>
  <si>
    <t>IP</t>
    <phoneticPr fontId="1" type="noConversion"/>
  </si>
  <si>
    <t>RTL Case</t>
    <phoneticPr fontId="1" type="noConversion"/>
  </si>
  <si>
    <t>RTL Pass</t>
    <phoneticPr fontId="1" type="noConversion"/>
  </si>
  <si>
    <t>FPGA Case</t>
    <phoneticPr fontId="1" type="noConversion"/>
  </si>
  <si>
    <t>FPGA Pass</t>
    <phoneticPr fontId="1" type="noConversion"/>
  </si>
  <si>
    <t>Sim. Case</t>
    <phoneticPr fontId="1" type="noConversion"/>
  </si>
  <si>
    <t>Sim. Pass</t>
    <phoneticPr fontId="1" type="noConversion"/>
  </si>
  <si>
    <t>ASIC Case</t>
    <phoneticPr fontId="1" type="noConversion"/>
  </si>
  <si>
    <t>ASIC Pass</t>
    <phoneticPr fontId="1" type="noConversion"/>
  </si>
  <si>
    <t>%</t>
    <phoneticPr fontId="1" type="noConversion"/>
  </si>
  <si>
    <t>Project A</t>
    <phoneticPr fontId="1" type="noConversion"/>
  </si>
  <si>
    <t>Project B</t>
    <phoneticPr fontId="1" type="noConversion"/>
  </si>
  <si>
    <t>Project C</t>
    <phoneticPr fontId="1" type="noConversion"/>
  </si>
  <si>
    <t>Project D</t>
    <phoneticPr fontId="1" type="noConversion"/>
  </si>
  <si>
    <t>Project E</t>
    <phoneticPr fontId="1" type="noConversion"/>
  </si>
  <si>
    <t>Project G</t>
    <phoneticPr fontId="1" type="noConversion"/>
  </si>
  <si>
    <t>Projecgt 별 Test Case 수 비교</t>
    <phoneticPr fontId="1" type="noConversion"/>
  </si>
  <si>
    <t>RTL</t>
    <phoneticPr fontId="1" type="noConversion"/>
  </si>
  <si>
    <t>FPGA</t>
    <phoneticPr fontId="1" type="noConversion"/>
  </si>
  <si>
    <t>POST Sim.</t>
    <phoneticPr fontId="1" type="noConversion"/>
  </si>
  <si>
    <t>ASIC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</si>
</sst>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_ "/>
    <numFmt numFmtId="177" formatCode="0.0%"/>
    <numFmt numFmtId="178" formatCode="0_ "/>
    <numFmt numFmtId="179" formatCode="mm&quot;/&quot;dd&quot;/&quot;yy;@"/>
    <numFmt numFmtId="180" formatCode="mm&quot;월&quot;\ dd&quot;일&quot;"/>
  </numFmts>
  <fonts count="4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i/>
      <sz val="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9" tint="-0.249977111117893"/>
      <name val="맑은 고딕"/>
      <family val="3"/>
      <charset val="129"/>
      <scheme val="minor"/>
    </font>
    <font>
      <b/>
      <sz val="12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Calibri"/>
      <family val="2"/>
    </font>
    <font>
      <b/>
      <sz val="9"/>
      <color theme="0" tint="-0.249977111117893"/>
      <name val="맑은 고딕"/>
      <family val="3"/>
      <charset val="129"/>
    </font>
    <font>
      <b/>
      <vertAlign val="superscript"/>
      <sz val="11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2"/>
      <color theme="0" tint="-0.249977111117893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 tint="-0.24997711111789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</cellStyleXfs>
  <cellXfs count="414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0" fillId="2" borderId="0" xfId="0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9" fontId="0" fillId="2" borderId="0" xfId="7" applyNumberFormat="1" applyFont="1" applyFill="1" applyAlignment="1">
      <alignment horizontal="right" vertical="center"/>
    </xf>
    <xf numFmtId="0" fontId="2" fillId="3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9" fontId="0" fillId="2" borderId="0" xfId="7" applyFont="1" applyFill="1" applyAlignment="1">
      <alignment horizontal="center" vertical="center"/>
    </xf>
    <xf numFmtId="9" fontId="0" fillId="2" borderId="0" xfId="0" applyNumberFormat="1" applyFill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9" fontId="0" fillId="2" borderId="10" xfId="0" applyNumberFormat="1" applyFill="1" applyBorder="1" applyAlignment="1">
      <alignment horizontal="right" vertical="center"/>
    </xf>
    <xf numFmtId="9" fontId="0" fillId="2" borderId="11" xfId="7" applyNumberFormat="1" applyFont="1" applyFill="1" applyBorder="1" applyAlignment="1">
      <alignment horizontal="right" vertical="center"/>
    </xf>
    <xf numFmtId="9" fontId="0" fillId="2" borderId="9" xfId="7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9" fontId="13" fillId="5" borderId="10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9" fontId="13" fillId="6" borderId="10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9" fontId="13" fillId="6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14" fontId="16" fillId="7" borderId="1" xfId="0" applyNumberFormat="1" applyFont="1" applyFill="1" applyBorder="1" applyAlignment="1">
      <alignment horizontal="center" vertical="center"/>
    </xf>
    <xf numFmtId="176" fontId="16" fillId="7" borderId="1" xfId="0" applyNumberFormat="1" applyFont="1" applyFill="1" applyBorder="1" applyAlignment="1">
      <alignment horizontal="center" vertical="center"/>
    </xf>
    <xf numFmtId="177" fontId="16" fillId="7" borderId="1" xfId="7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>
      <alignment vertical="center"/>
    </xf>
    <xf numFmtId="14" fontId="16" fillId="8" borderId="1" xfId="0" applyNumberFormat="1" applyFont="1" applyFill="1" applyBorder="1" applyAlignment="1">
      <alignment horizontal="center" vertical="center"/>
    </xf>
    <xf numFmtId="176" fontId="16" fillId="8" borderId="1" xfId="0" applyNumberFormat="1" applyFont="1" applyFill="1" applyBorder="1" applyAlignment="1">
      <alignment horizontal="center" vertical="center"/>
    </xf>
    <xf numFmtId="177" fontId="16" fillId="8" borderId="1" xfId="7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16" fillId="0" borderId="0" xfId="0" applyFont="1" applyBorder="1">
      <alignment vertical="center"/>
    </xf>
    <xf numFmtId="9" fontId="22" fillId="6" borderId="1" xfId="0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center" vertical="center"/>
    </xf>
    <xf numFmtId="9" fontId="12" fillId="6" borderId="6" xfId="0" applyNumberFormat="1" applyFont="1" applyFill="1" applyBorder="1" applyAlignment="1">
      <alignment horizontal="center" vertical="center"/>
    </xf>
    <xf numFmtId="9" fontId="12" fillId="5" borderId="8" xfId="0" applyNumberFormat="1" applyFont="1" applyFill="1" applyBorder="1" applyAlignment="1">
      <alignment horizontal="center" vertical="center"/>
    </xf>
    <xf numFmtId="9" fontId="12" fillId="6" borderId="8" xfId="0" applyNumberFormat="1" applyFont="1" applyFill="1" applyBorder="1" applyAlignment="1">
      <alignment horizontal="center" vertical="center"/>
    </xf>
    <xf numFmtId="9" fontId="14" fillId="6" borderId="8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177" fontId="8" fillId="5" borderId="19" xfId="0" applyNumberFormat="1" applyFont="1" applyFill="1" applyBorder="1" applyAlignment="1">
      <alignment horizontal="right" vertical="center"/>
    </xf>
    <xf numFmtId="9" fontId="12" fillId="5" borderId="19" xfId="0" applyNumberFormat="1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76" fontId="0" fillId="5" borderId="19" xfId="0" applyNumberFormat="1" applyFill="1" applyBorder="1" applyAlignment="1">
      <alignment horizontal="center" vertical="center"/>
    </xf>
    <xf numFmtId="177" fontId="8" fillId="6" borderId="19" xfId="0" applyNumberFormat="1" applyFont="1" applyFill="1" applyBorder="1" applyAlignment="1">
      <alignment horizontal="right" vertical="center"/>
    </xf>
    <xf numFmtId="9" fontId="12" fillId="6" borderId="19" xfId="0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176" fontId="0" fillId="6" borderId="19" xfId="0" applyNumberFormat="1" applyFill="1" applyBorder="1" applyAlignment="1">
      <alignment horizontal="center" vertical="center"/>
    </xf>
    <xf numFmtId="177" fontId="15" fillId="6" borderId="19" xfId="0" applyNumberFormat="1" applyFont="1" applyFill="1" applyBorder="1" applyAlignment="1">
      <alignment horizontal="right" vertical="center"/>
    </xf>
    <xf numFmtId="9" fontId="14" fillId="6" borderId="19" xfId="0" applyNumberFormat="1" applyFont="1" applyFill="1" applyBorder="1" applyAlignment="1">
      <alignment horizontal="center" vertical="center"/>
    </xf>
    <xf numFmtId="0" fontId="0" fillId="6" borderId="19" xfId="0" applyFont="1" applyFill="1" applyBorder="1" applyAlignment="1">
      <alignment horizontal="center" vertical="center"/>
    </xf>
    <xf numFmtId="176" fontId="0" fillId="6" borderId="19" xfId="0" applyNumberFormat="1" applyFont="1" applyFill="1" applyBorder="1" applyAlignment="1">
      <alignment horizontal="center" vertical="center"/>
    </xf>
    <xf numFmtId="178" fontId="0" fillId="10" borderId="9" xfId="0" applyNumberFormat="1" applyFill="1" applyBorder="1" applyAlignment="1">
      <alignment horizontal="center" vertical="center"/>
    </xf>
    <xf numFmtId="177" fontId="8" fillId="10" borderId="9" xfId="0" applyNumberFormat="1" applyFont="1" applyFill="1" applyBorder="1">
      <alignment vertical="center"/>
    </xf>
    <xf numFmtId="177" fontId="8" fillId="10" borderId="9" xfId="0" applyNumberFormat="1" applyFont="1" applyFill="1" applyBorder="1" applyAlignment="1">
      <alignment horizontal="right" vertical="center"/>
    </xf>
    <xf numFmtId="0" fontId="0" fillId="10" borderId="9" xfId="0" applyFill="1" applyBorder="1" applyAlignment="1">
      <alignment horizontal="right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6" fontId="0" fillId="10" borderId="9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right" vertical="center"/>
    </xf>
    <xf numFmtId="177" fontId="8" fillId="0" borderId="0" xfId="0" applyNumberFormat="1" applyFont="1" applyFill="1" applyBorder="1">
      <alignment vertical="center"/>
    </xf>
    <xf numFmtId="0" fontId="9" fillId="0" borderId="0" xfId="0" applyFont="1">
      <alignment vertical="center"/>
    </xf>
    <xf numFmtId="0" fontId="18" fillId="3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176" fontId="9" fillId="3" borderId="1" xfId="0" applyNumberFormat="1" applyFont="1" applyFill="1" applyBorder="1" applyAlignment="1">
      <alignment horizontal="center" vertical="center"/>
    </xf>
    <xf numFmtId="177" fontId="9" fillId="3" borderId="1" xfId="7" applyNumberFormat="1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6" fontId="9" fillId="8" borderId="1" xfId="0" applyNumberFormat="1" applyFont="1" applyFill="1" applyBorder="1" applyAlignment="1">
      <alignment horizontal="center" vertical="center"/>
    </xf>
    <xf numFmtId="177" fontId="9" fillId="8" borderId="1" xfId="7" applyNumberFormat="1" applyFont="1" applyFill="1" applyBorder="1" applyAlignment="1">
      <alignment horizontal="right" vertical="center"/>
    </xf>
    <xf numFmtId="0" fontId="9" fillId="8" borderId="1" xfId="0" applyFont="1" applyFill="1" applyBorder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9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80" fontId="16" fillId="0" borderId="26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0" borderId="27" xfId="0" applyFont="1" applyBorder="1">
      <alignment vertical="center"/>
    </xf>
    <xf numFmtId="0" fontId="16" fillId="0" borderId="28" xfId="0" applyFont="1" applyBorder="1">
      <alignment vertical="center"/>
    </xf>
    <xf numFmtId="0" fontId="16" fillId="0" borderId="29" xfId="0" applyFont="1" applyBorder="1">
      <alignment vertical="center"/>
    </xf>
    <xf numFmtId="0" fontId="16" fillId="0" borderId="30" xfId="0" applyFont="1" applyBorder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79" fontId="9" fillId="8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7" fontId="16" fillId="0" borderId="1" xfId="7" applyNumberFormat="1" applyFont="1" applyFill="1" applyBorder="1" applyAlignment="1">
      <alignment horizontal="center" vertical="center"/>
    </xf>
    <xf numFmtId="0" fontId="16" fillId="0" borderId="1" xfId="0" applyFont="1" applyFill="1" applyBorder="1">
      <alignment vertical="center"/>
    </xf>
    <xf numFmtId="0" fontId="16" fillId="0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9" fontId="16" fillId="2" borderId="12" xfId="7" applyNumberFormat="1" applyFont="1" applyFill="1" applyBorder="1" applyAlignment="1">
      <alignment horizontal="center" vertical="center"/>
    </xf>
    <xf numFmtId="9" fontId="16" fillId="2" borderId="12" xfId="7" applyNumberFormat="1" applyFont="1" applyFill="1" applyBorder="1" applyAlignment="1">
      <alignment vertical="center"/>
    </xf>
    <xf numFmtId="9" fontId="16" fillId="2" borderId="21" xfId="7" applyNumberFormat="1" applyFont="1" applyFill="1" applyBorder="1" applyAlignment="1">
      <alignment vertical="center"/>
    </xf>
    <xf numFmtId="9" fontId="16" fillId="2" borderId="4" xfId="0" applyNumberFormat="1" applyFont="1" applyFill="1" applyBorder="1" applyAlignment="1">
      <alignment vertical="center"/>
    </xf>
    <xf numFmtId="9" fontId="16" fillId="2" borderId="12" xfId="0" applyNumberFormat="1" applyFont="1" applyFill="1" applyBorder="1" applyAlignment="1">
      <alignment horizontal="center" vertical="center"/>
    </xf>
    <xf numFmtId="176" fontId="9" fillId="3" borderId="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77" fontId="16" fillId="0" borderId="1" xfId="7" applyNumberFormat="1" applyFont="1" applyFill="1" applyBorder="1">
      <alignment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7" fontId="9" fillId="11" borderId="1" xfId="7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176" fontId="24" fillId="0" borderId="5" xfId="0" applyNumberFormat="1" applyFont="1" applyFill="1" applyBorder="1" applyAlignment="1">
      <alignment horizontal="center" vertical="center"/>
    </xf>
    <xf numFmtId="177" fontId="24" fillId="0" borderId="5" xfId="7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76" fontId="18" fillId="3" borderId="10" xfId="0" applyNumberFormat="1" applyFont="1" applyFill="1" applyBorder="1" applyAlignment="1">
      <alignment horizontal="center" vertical="center"/>
    </xf>
    <xf numFmtId="177" fontId="18" fillId="3" borderId="10" xfId="7" applyNumberFormat="1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176" fontId="28" fillId="3" borderId="1" xfId="0" applyNumberFormat="1" applyFont="1" applyFill="1" applyBorder="1" applyAlignment="1">
      <alignment horizontal="center" vertical="center"/>
    </xf>
    <xf numFmtId="177" fontId="28" fillId="3" borderId="1" xfId="7" applyNumberFormat="1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177" fontId="18" fillId="3" borderId="1" xfId="7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24" fillId="0" borderId="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 wrapText="1"/>
    </xf>
    <xf numFmtId="176" fontId="24" fillId="0" borderId="0" xfId="0" applyNumberFormat="1" applyFont="1" applyFill="1" applyBorder="1" applyAlignment="1">
      <alignment horizontal="center" vertical="center"/>
    </xf>
    <xf numFmtId="177" fontId="24" fillId="0" borderId="0" xfId="7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7" fontId="9" fillId="12" borderId="1" xfId="7" applyNumberFormat="1" applyFont="1" applyFill="1" applyBorder="1" applyAlignment="1">
      <alignment horizontal="right" vertical="center"/>
    </xf>
    <xf numFmtId="179" fontId="9" fillId="12" borderId="8" xfId="0" applyNumberFormat="1" applyFont="1" applyFill="1" applyBorder="1" applyAlignment="1">
      <alignment horizontal="center" vertical="center"/>
    </xf>
    <xf numFmtId="0" fontId="9" fillId="12" borderId="1" xfId="0" applyFont="1" applyFill="1" applyBorder="1">
      <alignment vertical="center"/>
    </xf>
    <xf numFmtId="179" fontId="9" fillId="11" borderId="8" xfId="0" applyNumberFormat="1" applyFont="1" applyFill="1" applyBorder="1" applyAlignment="1">
      <alignment horizontal="center" vertical="center"/>
    </xf>
    <xf numFmtId="0" fontId="9" fillId="11" borderId="1" xfId="0" applyFont="1" applyFill="1" applyBorder="1">
      <alignment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36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176" fontId="9" fillId="3" borderId="15" xfId="0" applyNumberFormat="1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8" xfId="0" applyFont="1" applyFill="1" applyBorder="1">
      <alignment vertical="center"/>
    </xf>
    <xf numFmtId="0" fontId="19" fillId="3" borderId="6" xfId="0" applyFont="1" applyFill="1" applyBorder="1" applyAlignment="1">
      <alignment horizontal="center" vertical="center"/>
    </xf>
    <xf numFmtId="176" fontId="19" fillId="3" borderId="10" xfId="0" applyNumberFormat="1" applyFont="1" applyFill="1" applyBorder="1" applyAlignment="1">
      <alignment horizontal="center" vertical="center"/>
    </xf>
    <xf numFmtId="177" fontId="19" fillId="3" borderId="10" xfId="7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176" fontId="19" fillId="3" borderId="37" xfId="0" applyNumberFormat="1" applyFont="1" applyFill="1" applyBorder="1" applyAlignment="1">
      <alignment horizontal="center" vertical="center"/>
    </xf>
    <xf numFmtId="177" fontId="19" fillId="3" borderId="37" xfId="7" applyNumberFormat="1" applyFont="1" applyFill="1" applyBorder="1" applyAlignment="1">
      <alignment horizontal="center" vertical="center"/>
    </xf>
    <xf numFmtId="0" fontId="31" fillId="2" borderId="0" xfId="1" applyFont="1" applyFill="1"/>
    <xf numFmtId="0" fontId="10" fillId="2" borderId="0" xfId="1" applyFont="1" applyFill="1"/>
    <xf numFmtId="0" fontId="10" fillId="2" borderId="0" xfId="1" applyFont="1" applyFill="1" applyAlignment="1">
      <alignment horizontal="center" vertical="center"/>
    </xf>
    <xf numFmtId="0" fontId="37" fillId="2" borderId="0" xfId="1" applyFont="1" applyFill="1" applyBorder="1" applyAlignment="1">
      <alignment horizontal="left" vertical="center"/>
    </xf>
    <xf numFmtId="0" fontId="37" fillId="2" borderId="0" xfId="1" applyFont="1" applyFill="1" applyAlignment="1">
      <alignment vertical="center"/>
    </xf>
    <xf numFmtId="0" fontId="33" fillId="2" borderId="0" xfId="1" applyFont="1" applyFill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Border="1" applyAlignment="1">
      <alignment vertical="center" wrapText="1"/>
    </xf>
    <xf numFmtId="0" fontId="12" fillId="13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39" xfId="0" applyFont="1" applyBorder="1" applyAlignment="1">
      <alignment vertical="center" wrapText="1"/>
    </xf>
    <xf numFmtId="0" fontId="41" fillId="0" borderId="39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3" fillId="2" borderId="0" xfId="1" applyFont="1" applyFill="1" applyAlignment="1">
      <alignment vertical="center" wrapText="1"/>
    </xf>
    <xf numFmtId="0" fontId="47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vertical="center" wrapText="1"/>
    </xf>
    <xf numFmtId="0" fontId="10" fillId="2" borderId="0" xfId="1" applyFont="1" applyFill="1" applyBorder="1"/>
    <xf numFmtId="0" fontId="36" fillId="2" borderId="0" xfId="8" applyFont="1" applyFill="1" applyAlignment="1" applyProtection="1"/>
    <xf numFmtId="0" fontId="18" fillId="3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176" fontId="9" fillId="8" borderId="12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 wrapText="1"/>
    </xf>
    <xf numFmtId="0" fontId="18" fillId="3" borderId="14" xfId="0" applyFont="1" applyFill="1" applyBorder="1" applyAlignment="1">
      <alignment vertical="center"/>
    </xf>
    <xf numFmtId="0" fontId="18" fillId="3" borderId="33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9" xfId="0" applyFont="1" applyFill="1" applyBorder="1" applyAlignment="1">
      <alignment vertical="center"/>
    </xf>
    <xf numFmtId="0" fontId="18" fillId="3" borderId="9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/>
    </xf>
    <xf numFmtId="0" fontId="18" fillId="3" borderId="35" xfId="0" applyFont="1" applyFill="1" applyBorder="1" applyAlignment="1">
      <alignment vertical="center" wrapText="1"/>
    </xf>
    <xf numFmtId="176" fontId="9" fillId="3" borderId="20" xfId="0" applyNumberFormat="1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 wrapText="1"/>
    </xf>
    <xf numFmtId="0" fontId="18" fillId="3" borderId="40" xfId="0" applyFont="1" applyFill="1" applyBorder="1" applyAlignment="1">
      <alignment vertical="center"/>
    </xf>
    <xf numFmtId="0" fontId="18" fillId="3" borderId="41" xfId="0" applyFont="1" applyFill="1" applyBorder="1" applyAlignment="1">
      <alignment vertical="center" wrapText="1"/>
    </xf>
    <xf numFmtId="176" fontId="9" fillId="3" borderId="7" xfId="0" applyNumberFormat="1" applyFont="1" applyFill="1" applyBorder="1" applyAlignment="1">
      <alignment horizontal="center" vertical="center"/>
    </xf>
    <xf numFmtId="176" fontId="9" fillId="3" borderId="9" xfId="0" applyNumberFormat="1" applyFont="1" applyFill="1" applyBorder="1" applyAlignment="1">
      <alignment horizontal="center" vertical="center"/>
    </xf>
    <xf numFmtId="177" fontId="9" fillId="3" borderId="9" xfId="7" applyNumberFormat="1" applyFont="1" applyFill="1" applyBorder="1" applyAlignment="1">
      <alignment horizontal="center" vertical="center"/>
    </xf>
    <xf numFmtId="177" fontId="9" fillId="3" borderId="9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176" fontId="9" fillId="3" borderId="34" xfId="0" applyNumberFormat="1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21" fillId="2" borderId="0" xfId="0" applyNumberFormat="1" applyFont="1" applyFill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9" fillId="9" borderId="2" xfId="1" applyFont="1" applyFill="1" applyBorder="1" applyAlignment="1">
      <alignment horizontal="center" vertical="center"/>
    </xf>
    <xf numFmtId="0" fontId="29" fillId="9" borderId="3" xfId="1" applyFont="1" applyFill="1" applyBorder="1" applyAlignment="1">
      <alignment horizontal="center" vertical="center"/>
    </xf>
    <xf numFmtId="0" fontId="29" fillId="9" borderId="8" xfId="1" applyFont="1" applyFill="1" applyBorder="1" applyAlignment="1">
      <alignment horizontal="center" vertical="center"/>
    </xf>
    <xf numFmtId="0" fontId="32" fillId="2" borderId="0" xfId="1" applyFont="1" applyFill="1" applyBorder="1" applyAlignment="1">
      <alignment horizontal="right"/>
    </xf>
    <xf numFmtId="0" fontId="33" fillId="13" borderId="2" xfId="0" applyFont="1" applyFill="1" applyBorder="1" applyAlignment="1">
      <alignment horizontal="center" vertical="center"/>
    </xf>
    <xf numFmtId="0" fontId="33" fillId="13" borderId="3" xfId="0" applyFont="1" applyFill="1" applyBorder="1" applyAlignment="1">
      <alignment horizontal="center" vertical="center"/>
    </xf>
    <xf numFmtId="0" fontId="33" fillId="13" borderId="8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40" fillId="13" borderId="2" xfId="0" applyFont="1" applyFill="1" applyBorder="1" applyAlignment="1">
      <alignment horizontal="left" vertical="center" wrapText="1"/>
    </xf>
    <xf numFmtId="0" fontId="40" fillId="13" borderId="8" xfId="0" applyFont="1" applyFill="1" applyBorder="1" applyAlignment="1">
      <alignment horizontal="left" vertical="center" wrapText="1"/>
    </xf>
    <xf numFmtId="0" fontId="36" fillId="2" borderId="2" xfId="8" applyFont="1" applyFill="1" applyBorder="1" applyAlignment="1" applyProtection="1">
      <alignment horizontal="center" vertical="center" wrapText="1"/>
    </xf>
    <xf numFmtId="0" fontId="36" fillId="2" borderId="3" xfId="8" applyFont="1" applyFill="1" applyBorder="1" applyAlignment="1" applyProtection="1">
      <alignment horizontal="center" vertical="center" wrapText="1"/>
    </xf>
    <xf numFmtId="0" fontId="36" fillId="2" borderId="8" xfId="8" applyFont="1" applyFill="1" applyBorder="1" applyAlignment="1" applyProtection="1">
      <alignment horizontal="center" vertical="center" wrapText="1"/>
    </xf>
    <xf numFmtId="0" fontId="36" fillId="2" borderId="2" xfId="8" quotePrefix="1" applyFont="1" applyFill="1" applyBorder="1" applyAlignment="1" applyProtection="1">
      <alignment horizontal="center" vertical="center" wrapText="1"/>
    </xf>
    <xf numFmtId="0" fontId="36" fillId="2" borderId="3" xfId="8" quotePrefix="1" applyFont="1" applyFill="1" applyBorder="1" applyAlignment="1" applyProtection="1">
      <alignment horizontal="center" vertical="center" wrapText="1"/>
    </xf>
    <xf numFmtId="0" fontId="36" fillId="2" borderId="8" xfId="8" quotePrefix="1" applyFont="1" applyFill="1" applyBorder="1" applyAlignment="1" applyProtection="1">
      <alignment horizontal="center" vertical="center" wrapText="1"/>
    </xf>
    <xf numFmtId="0" fontId="37" fillId="2" borderId="0" xfId="1" applyFont="1" applyFill="1" applyBorder="1" applyAlignment="1">
      <alignment horizontal="left" vertical="center"/>
    </xf>
    <xf numFmtId="0" fontId="38" fillId="2" borderId="0" xfId="1" applyFont="1" applyFill="1" applyBorder="1" applyAlignment="1">
      <alignment horizontal="left" vertical="center"/>
    </xf>
    <xf numFmtId="0" fontId="39" fillId="2" borderId="0" xfId="1" applyFont="1" applyFill="1" applyAlignment="1">
      <alignment horizontal="left" vertical="center" wrapText="1" indent="2"/>
    </xf>
    <xf numFmtId="0" fontId="33" fillId="2" borderId="0" xfId="1" applyFont="1" applyFill="1" applyAlignment="1">
      <alignment horizontal="left" vertical="center" wrapText="1" indent="2"/>
    </xf>
    <xf numFmtId="0" fontId="40" fillId="13" borderId="2" xfId="0" applyFont="1" applyFill="1" applyBorder="1" applyAlignment="1">
      <alignment horizontal="left" vertical="center"/>
    </xf>
    <xf numFmtId="0" fontId="40" fillId="13" borderId="8" xfId="0" applyFont="1" applyFill="1" applyBorder="1" applyAlignment="1">
      <alignment horizontal="left" vertical="center"/>
    </xf>
    <xf numFmtId="0" fontId="12" fillId="13" borderId="2" xfId="1" applyFont="1" applyFill="1" applyBorder="1" applyAlignment="1">
      <alignment horizontal="center" vertical="center" wrapText="1"/>
    </xf>
    <xf numFmtId="0" fontId="12" fillId="13" borderId="3" xfId="1" applyFont="1" applyFill="1" applyBorder="1" applyAlignment="1">
      <alignment horizontal="center" vertical="center" wrapText="1"/>
    </xf>
    <xf numFmtId="0" fontId="12" fillId="13" borderId="8" xfId="1" applyFont="1" applyFill="1" applyBorder="1" applyAlignment="1">
      <alignment horizontal="center" vertical="center" wrapText="1"/>
    </xf>
    <xf numFmtId="0" fontId="48" fillId="0" borderId="2" xfId="1" applyFont="1" applyBorder="1" applyAlignment="1">
      <alignment horizontal="center" vertical="center" wrapText="1"/>
    </xf>
    <xf numFmtId="0" fontId="48" fillId="0" borderId="8" xfId="1" applyFont="1" applyBorder="1" applyAlignment="1">
      <alignment horizontal="center" vertical="center" wrapText="1"/>
    </xf>
    <xf numFmtId="0" fontId="48" fillId="0" borderId="3" xfId="1" applyFont="1" applyBorder="1" applyAlignment="1">
      <alignment horizontal="center" vertical="center" wrapText="1"/>
    </xf>
    <xf numFmtId="0" fontId="48" fillId="0" borderId="2" xfId="0" applyFont="1" applyBorder="1" applyAlignment="1">
      <alignment horizontal="left" vertical="center" wrapText="1"/>
    </xf>
    <xf numFmtId="0" fontId="48" fillId="0" borderId="3" xfId="0" applyFont="1" applyBorder="1" applyAlignment="1">
      <alignment horizontal="left" vertical="center" wrapText="1"/>
    </xf>
    <xf numFmtId="0" fontId="48" fillId="0" borderId="8" xfId="0" applyFont="1" applyBorder="1" applyAlignment="1">
      <alignment horizontal="left" vertical="center" wrapText="1"/>
    </xf>
    <xf numFmtId="0" fontId="23" fillId="0" borderId="0" xfId="1" applyFont="1" applyFill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 wrapText="1"/>
    </xf>
    <xf numFmtId="0" fontId="33" fillId="0" borderId="8" xfId="1" applyFont="1" applyBorder="1" applyAlignment="1">
      <alignment horizontal="center" vertical="center" wrapText="1"/>
    </xf>
    <xf numFmtId="0" fontId="33" fillId="0" borderId="3" xfId="1" applyFont="1" applyBorder="1" applyAlignment="1">
      <alignment horizontal="center" vertical="center" wrapText="1"/>
    </xf>
    <xf numFmtId="0" fontId="33" fillId="0" borderId="2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left" vertical="center" wrapText="1"/>
    </xf>
    <xf numFmtId="0" fontId="33" fillId="0" borderId="8" xfId="1" applyFont="1" applyBorder="1" applyAlignment="1">
      <alignment horizontal="left" vertical="center" wrapText="1"/>
    </xf>
    <xf numFmtId="0" fontId="23" fillId="0" borderId="2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2" xfId="1" applyFont="1" applyBorder="1" applyAlignment="1">
      <alignment horizontal="left" vertical="center" wrapText="1"/>
    </xf>
    <xf numFmtId="0" fontId="23" fillId="0" borderId="3" xfId="1" applyFont="1" applyBorder="1" applyAlignment="1">
      <alignment horizontal="left" vertical="center" wrapText="1"/>
    </xf>
    <xf numFmtId="0" fontId="23" fillId="0" borderId="8" xfId="1" applyFont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78" fontId="23" fillId="3" borderId="1" xfId="0" applyNumberFormat="1" applyFont="1" applyFill="1" applyBorder="1" applyAlignment="1">
      <alignment horizontal="center" vertical="center"/>
    </xf>
    <xf numFmtId="10" fontId="23" fillId="3" borderId="1" xfId="7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 wrapText="1"/>
    </xf>
  </cellXfs>
  <cellStyles count="9">
    <cellStyle name="백분율" xfId="7" builtinId="5"/>
    <cellStyle name="표준" xfId="0" builtinId="0"/>
    <cellStyle name="표준 2" xfId="1"/>
    <cellStyle name="표준 2 2" xfId="2"/>
    <cellStyle name="표준 3" xfId="3"/>
    <cellStyle name="표준 4" xfId="4"/>
    <cellStyle name="표준 5" xfId="5"/>
    <cellStyle name="표준 6" xfId="6"/>
    <cellStyle name="하이퍼링크" xfId="8" builtinId="8"/>
  </cellStyles>
  <dxfs count="74"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solid">
          <bgColor theme="0" tint="-0.24994659260841701"/>
        </patternFill>
      </fill>
    </dxf>
    <dxf>
      <font>
        <b/>
        <i val="0"/>
      </font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externalLink" Target="externalLinks/externalLink7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87.xml"/><Relationship Id="rId110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90" Type="http://schemas.openxmlformats.org/officeDocument/2006/relationships/externalLink" Target="externalLinks/externalLink75.xml"/><Relationship Id="rId95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105" Type="http://schemas.openxmlformats.org/officeDocument/2006/relationships/externalLink" Target="externalLinks/externalLink9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78.xml"/><Relationship Id="rId98" Type="http://schemas.openxmlformats.org/officeDocument/2006/relationships/externalLink" Target="externalLinks/externalLink8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88.xml"/><Relationship Id="rId108" Type="http://schemas.openxmlformats.org/officeDocument/2006/relationships/styles" Target="styles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68.xml"/><Relationship Id="rId88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76.xml"/><Relationship Id="rId96" Type="http://schemas.openxmlformats.org/officeDocument/2006/relationships/externalLink" Target="externalLinks/externalLink8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6" Type="http://schemas.openxmlformats.org/officeDocument/2006/relationships/externalLink" Target="externalLinks/externalLink9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9.xml"/><Relationship Id="rId99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97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92" Type="http://schemas.openxmlformats.org/officeDocument/2006/relationships/externalLink" Target="externalLinks/externalLink7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2 - Data'!$C$4</c:f>
              <c:strCache>
                <c:ptCount val="1"/>
                <c:pt idx="0">
                  <c:v>Cortex-M3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Data'!$D$3:$I$3</c:f>
              <c:strCache>
                <c:ptCount val="6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  <c:pt idx="3">
                  <c:v>Project D</c:v>
                </c:pt>
                <c:pt idx="4">
                  <c:v>Project E</c:v>
                </c:pt>
                <c:pt idx="5">
                  <c:v>Project G</c:v>
                </c:pt>
              </c:strCache>
            </c:strRef>
          </c:cat>
          <c:val>
            <c:numRef>
              <c:f>'Chart 2 - Data'!$D$4:$I$4</c:f>
              <c:numCache>
                <c:formatCode>General</c:formatCode>
                <c:ptCount val="6"/>
                <c:pt idx="0">
                  <c:v>75</c:v>
                </c:pt>
                <c:pt idx="1">
                  <c:v>85</c:v>
                </c:pt>
                <c:pt idx="2">
                  <c:v>90</c:v>
                </c:pt>
                <c:pt idx="3">
                  <c:v>70</c:v>
                </c:pt>
                <c:pt idx="4">
                  <c:v>85</c:v>
                </c:pt>
                <c:pt idx="5">
                  <c:v>30</c:v>
                </c:pt>
              </c:numCache>
            </c:numRef>
          </c:val>
        </c:ser>
        <c:ser>
          <c:idx val="1"/>
          <c:order val="1"/>
          <c:tx>
            <c:strRef>
              <c:f>'Chart 2 - Data'!$C$5</c:f>
              <c:strCache>
                <c:ptCount val="1"/>
                <c:pt idx="0">
                  <c:v>HCT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Data'!$D$3:$I$3</c:f>
              <c:strCache>
                <c:ptCount val="6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  <c:pt idx="3">
                  <c:v>Project D</c:v>
                </c:pt>
                <c:pt idx="4">
                  <c:v>Project E</c:v>
                </c:pt>
                <c:pt idx="5">
                  <c:v>Project G</c:v>
                </c:pt>
              </c:strCache>
            </c:strRef>
          </c:cat>
          <c:val>
            <c:numRef>
              <c:f>'Chart 2 - Data'!$D$5:$I$5</c:f>
              <c:numCache>
                <c:formatCode>General</c:formatCode>
                <c:ptCount val="6"/>
                <c:pt idx="0">
                  <c:v>25</c:v>
                </c:pt>
                <c:pt idx="1">
                  <c:v>5</c:v>
                </c:pt>
                <c:pt idx="2">
                  <c:v>80</c:v>
                </c:pt>
                <c:pt idx="3">
                  <c:v>25</c:v>
                </c:pt>
                <c:pt idx="4">
                  <c:v>7</c:v>
                </c:pt>
                <c:pt idx="5">
                  <c:v>85</c:v>
                </c:pt>
              </c:numCache>
            </c:numRef>
          </c:val>
        </c:ser>
        <c:ser>
          <c:idx val="2"/>
          <c:order val="2"/>
          <c:tx>
            <c:strRef>
              <c:f>'Chart 2 - Data'!$C$6</c:f>
              <c:strCache>
                <c:ptCount val="1"/>
                <c:pt idx="0">
                  <c:v>FCT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Data'!$D$3:$I$3</c:f>
              <c:strCache>
                <c:ptCount val="6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  <c:pt idx="3">
                  <c:v>Project D</c:v>
                </c:pt>
                <c:pt idx="4">
                  <c:v>Project E</c:v>
                </c:pt>
                <c:pt idx="5">
                  <c:v>Project G</c:v>
                </c:pt>
              </c:strCache>
            </c:strRef>
          </c:cat>
          <c:val>
            <c:numRef>
              <c:f>'Chart 2 - Data'!$D$6:$I$6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50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</c:ser>
        <c:ser>
          <c:idx val="3"/>
          <c:order val="3"/>
          <c:tx>
            <c:strRef>
              <c:f>'Chart 2 - Data'!$C$7</c:f>
              <c:strCache>
                <c:ptCount val="1"/>
                <c:pt idx="0">
                  <c:v>Buffer Manager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Data'!$D$3:$I$3</c:f>
              <c:strCache>
                <c:ptCount val="6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  <c:pt idx="3">
                  <c:v>Project D</c:v>
                </c:pt>
                <c:pt idx="4">
                  <c:v>Project E</c:v>
                </c:pt>
                <c:pt idx="5">
                  <c:v>Project G</c:v>
                </c:pt>
              </c:strCache>
            </c:strRef>
          </c:cat>
          <c:val>
            <c:numRef>
              <c:f>'Chart 2 - Data'!$D$7:$I$7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50</c:v>
                </c:pt>
                <c:pt idx="5">
                  <c:v>20</c:v>
                </c:pt>
              </c:numCache>
            </c:numRef>
          </c:val>
        </c:ser>
        <c:ser>
          <c:idx val="4"/>
          <c:order val="4"/>
          <c:tx>
            <c:strRef>
              <c:f>'Chart 2 - Data'!$C$8</c:f>
              <c:strCache>
                <c:ptCount val="1"/>
                <c:pt idx="0">
                  <c:v>Search Engine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Data'!$D$3:$I$3</c:f>
              <c:strCache>
                <c:ptCount val="6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  <c:pt idx="3">
                  <c:v>Project D</c:v>
                </c:pt>
                <c:pt idx="4">
                  <c:v>Project E</c:v>
                </c:pt>
                <c:pt idx="5">
                  <c:v>Project G</c:v>
                </c:pt>
              </c:strCache>
            </c:strRef>
          </c:cat>
          <c:val>
            <c:numRef>
              <c:f>'Chart 2 - Data'!$D$8:$I$8</c:f>
              <c:numCache>
                <c:formatCode>General</c:formatCode>
                <c:ptCount val="6"/>
                <c:pt idx="0">
                  <c:v>25</c:v>
                </c:pt>
                <c:pt idx="1">
                  <c:v>25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0947360"/>
        <c:axId val="310947752"/>
      </c:barChart>
      <c:catAx>
        <c:axId val="3109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0947752"/>
        <c:crosses val="autoZero"/>
        <c:auto val="1"/>
        <c:lblAlgn val="ctr"/>
        <c:lblOffset val="100"/>
        <c:noMultiLvlLbl val="0"/>
      </c:catAx>
      <c:valAx>
        <c:axId val="31094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09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165683251409056"/>
          <c:h val="0.78997118845486369"/>
        </c:manualLayout>
      </c:layout>
      <c:lineChart>
        <c:grouping val="standard"/>
        <c:varyColors val="0"/>
        <c:ser>
          <c:idx val="0"/>
          <c:order val="0"/>
          <c:tx>
            <c:v>RTL</c:v>
          </c:tx>
          <c:cat>
            <c:numRef>
              <c:f>VerificationStatusHistory!$B$6:$B$18</c:f>
              <c:numCache>
                <c:formatCode>m/d/yyyy</c:formatCode>
                <c:ptCount val="13"/>
              </c:numCache>
            </c:numRef>
          </c:cat>
          <c:val>
            <c:numRef>
              <c:f>VerificationStatusHistory!$E$6:$E$18</c:f>
              <c:numCache>
                <c:formatCode>0.0%</c:formatCode>
                <c:ptCount val="13"/>
              </c:numCache>
            </c:numRef>
          </c:val>
          <c:smooth val="1"/>
        </c:ser>
        <c:ser>
          <c:idx val="3"/>
          <c:order val="1"/>
          <c:tx>
            <c:v>FPGA</c:v>
          </c:tx>
          <c:cat>
            <c:numRef>
              <c:f>VerificationStatusHistory!$B$6:$B$18</c:f>
              <c:numCache>
                <c:formatCode>m/d/yyyy</c:formatCode>
                <c:ptCount val="13"/>
              </c:numCache>
            </c:numRef>
          </c:cat>
          <c:val>
            <c:numRef>
              <c:f>VerificationStatusHistory!$K$6:$K$18</c:f>
              <c:numCache>
                <c:formatCode>0.0%</c:formatCode>
                <c:ptCount val="13"/>
              </c:numCache>
            </c:numRef>
          </c:val>
          <c:smooth val="1"/>
        </c:ser>
        <c:ser>
          <c:idx val="4"/>
          <c:order val="2"/>
          <c:tx>
            <c:v>Cov.F0/1</c:v>
          </c:tx>
          <c:cat>
            <c:numRef>
              <c:f>VerificationStatusHistory!$B$6:$B$18</c:f>
              <c:numCache>
                <c:formatCode>m/d/yyyy</c:formatCode>
                <c:ptCount val="13"/>
              </c:numCache>
            </c:numRef>
          </c:cat>
          <c:val>
            <c:numRef>
              <c:f>VerificationStatusHistory!$G$6:$G$18</c:f>
              <c:numCache>
                <c:formatCode>0.0%</c:formatCode>
                <c:ptCount val="13"/>
              </c:numCache>
            </c:numRef>
          </c:val>
          <c:smooth val="0"/>
        </c:ser>
        <c:ser>
          <c:idx val="1"/>
          <c:order val="3"/>
          <c:tx>
            <c:v>Cov.F2/3</c:v>
          </c:tx>
          <c:cat>
            <c:numRef>
              <c:f>VerificationStatusHistory!$B$6:$B$18</c:f>
              <c:numCache>
                <c:formatCode>m/d/yyyy</c:formatCode>
                <c:ptCount val="13"/>
              </c:numCache>
            </c:numRef>
          </c:cat>
          <c:val>
            <c:numRef>
              <c:f>VerificationStatusHistory!$F$6:$F$18</c:f>
              <c:numCache>
                <c:formatCode>0.0%</c:formatCode>
                <c:ptCount val="13"/>
              </c:numCache>
            </c:numRef>
          </c:val>
          <c:smooth val="1"/>
        </c:ser>
        <c:ser>
          <c:idx val="2"/>
          <c:order val="4"/>
          <c:tx>
            <c:strRef>
              <c:f>VerificationStatusSummary!$W$3</c:f>
              <c:strCache>
                <c:ptCount val="1"/>
                <c:pt idx="0">
                  <c:v>POST Sim.</c:v>
                </c:pt>
              </c:strCache>
            </c:strRef>
          </c:tx>
          <c:cat>
            <c:numRef>
              <c:f>VerificationStatusHistory!$B$6:$B$18</c:f>
              <c:numCache>
                <c:formatCode>m/d/yyyy</c:formatCode>
                <c:ptCount val="13"/>
              </c:numCache>
            </c:numRef>
          </c:cat>
          <c:val>
            <c:numRef>
              <c:f>VerificationStatusHistory!$O$6:$O$18</c:f>
              <c:numCache>
                <c:formatCode>0.0%</c:formatCode>
                <c:ptCount val="13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948536"/>
        <c:axId val="310948928"/>
      </c:lineChart>
      <c:dateAx>
        <c:axId val="310948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ko-KR"/>
          </a:p>
        </c:txPr>
        <c:crossAx val="310948928"/>
        <c:crosses val="autoZero"/>
        <c:auto val="0"/>
        <c:lblOffset val="100"/>
        <c:baseTimeUnit val="days"/>
      </c:dateAx>
      <c:valAx>
        <c:axId val="310948928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310948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050409739132895"/>
          <c:y val="0.26284930490795438"/>
          <c:w val="0.12762090279321817"/>
          <c:h val="0.44266651965922582"/>
        </c:manualLayout>
      </c:layout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165683251409056"/>
          <c:h val="0.78997118845486369"/>
        </c:manualLayout>
      </c:layout>
      <c:lineChart>
        <c:grouping val="standard"/>
        <c:varyColors val="0"/>
        <c:ser>
          <c:idx val="0"/>
          <c:order val="0"/>
          <c:tx>
            <c:strRef>
              <c:f>VerificationStatusHistory!$Q$4</c:f>
              <c:strCache>
                <c:ptCount val="1"/>
                <c:pt idx="0">
                  <c:v>ASIC</c:v>
                </c:pt>
              </c:strCache>
            </c:strRef>
          </c:tx>
          <c:cat>
            <c:numRef>
              <c:f>VerificationStatusHistory!$B$8:$B$18</c:f>
              <c:numCache>
                <c:formatCode>m/d/yyyy</c:formatCode>
                <c:ptCount val="11"/>
              </c:numCache>
            </c:numRef>
          </c:cat>
          <c:val>
            <c:numRef>
              <c:f>VerificationStatusHistory!$S$8:$S$18</c:f>
              <c:numCache>
                <c:formatCode>0.0%</c:formatCode>
                <c:ptCount val="1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949712"/>
        <c:axId val="310950104"/>
      </c:lineChart>
      <c:dateAx>
        <c:axId val="31094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ko-KR"/>
          </a:p>
        </c:txPr>
        <c:crossAx val="310950104"/>
        <c:crosses val="autoZero"/>
        <c:auto val="0"/>
        <c:lblOffset val="100"/>
        <c:baseTimeUnit val="days"/>
      </c:dateAx>
      <c:valAx>
        <c:axId val="310950104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31094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182951044162953"/>
          <c:y val="0.36566456165889166"/>
          <c:w val="0.18371262843063957"/>
          <c:h val="8.8533303931845095E-2"/>
        </c:manualLayout>
      </c:layout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Test Category(ASIC)</a:t>
            </a:r>
            <a:endParaRPr lang="ko-KR" altLang="en-US" sz="14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0.14086325144061684"/>
                  <c:y val="1.84308211473565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7201559596075247"/>
                  <c:y val="8.328608923884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15411219476433"/>
                  <c:y val="5.45755530558680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2984171834797778"/>
                  <c:y val="6.592425946756655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Table!$S$4:$W$4</c:f>
              <c:strCache>
                <c:ptCount val="5"/>
                <c:pt idx="0">
                  <c:v>Sanity Test</c:v>
                </c:pt>
                <c:pt idx="1">
                  <c:v>Function Test</c:v>
                </c:pt>
                <c:pt idx="2">
                  <c:v>Comprehensive Test</c:v>
                </c:pt>
                <c:pt idx="3">
                  <c:v>Performance &amp; Regression Test</c:v>
                </c:pt>
                <c:pt idx="4">
                  <c:v>Specific &amp; Etc. Test</c:v>
                </c:pt>
              </c:strCache>
            </c:strRef>
          </c:cat>
          <c:val>
            <c:numRef>
              <c:f>Table!$S$37:$W$37</c:f>
              <c:numCache>
                <c:formatCode>General</c:formatCode>
                <c:ptCount val="5"/>
                <c:pt idx="0">
                  <c:v>65</c:v>
                </c:pt>
                <c:pt idx="1">
                  <c:v>675</c:v>
                </c:pt>
                <c:pt idx="2">
                  <c:v>183</c:v>
                </c:pt>
                <c:pt idx="3">
                  <c:v>34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u="none" strike="noStrike" baseline="0"/>
              <a:t>Test Category(FPGA)</a:t>
            </a:r>
            <a:endParaRPr lang="ko-KR" altLang="en-US" sz="14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Table!$I$4:$M$4</c:f>
              <c:strCache>
                <c:ptCount val="5"/>
                <c:pt idx="0">
                  <c:v>Sanity Test</c:v>
                </c:pt>
                <c:pt idx="1">
                  <c:v>Function Test</c:v>
                </c:pt>
                <c:pt idx="2">
                  <c:v>Comprehensive Test</c:v>
                </c:pt>
                <c:pt idx="3">
                  <c:v>Performance &amp; Regression Test</c:v>
                </c:pt>
                <c:pt idx="4">
                  <c:v>Specific &amp; Etc. Test</c:v>
                </c:pt>
              </c:strCache>
            </c:strRef>
          </c:cat>
          <c:val>
            <c:numRef>
              <c:f>Table!$I$37:$M$37</c:f>
              <c:numCache>
                <c:formatCode>General</c:formatCode>
                <c:ptCount val="5"/>
                <c:pt idx="0">
                  <c:v>97</c:v>
                </c:pt>
                <c:pt idx="1">
                  <c:v>664</c:v>
                </c:pt>
                <c:pt idx="2">
                  <c:v>206</c:v>
                </c:pt>
                <c:pt idx="3">
                  <c:v>48</c:v>
                </c:pt>
                <c:pt idx="4">
                  <c:v>89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baseline="0"/>
              <a:t>Test Level(RTL &amp; FPGA)</a:t>
            </a:r>
            <a:endParaRPr lang="ko-KR" altLang="ko-KR" sz="1400" b="1" i="0" baseline="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2.1141599724276892E-3"/>
                  <c:y val="5.411837899984432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6106789681592831E-2"/>
                  <c:y val="-2.235409786270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Table!$X$4:$AE$4</c:f>
              <c:strCache>
                <c:ptCount val="8"/>
                <c:pt idx="0">
                  <c:v>etc.</c:v>
                </c:pt>
                <c:pt idx="1">
                  <c:v>F0</c:v>
                </c:pt>
                <c:pt idx="2">
                  <c:v>F1</c:v>
                </c:pt>
                <c:pt idx="3">
                  <c:v>F1_all</c:v>
                </c:pt>
                <c:pt idx="4">
                  <c:v>F2_all</c:v>
                </c:pt>
                <c:pt idx="5">
                  <c:v>F3</c:v>
                </c:pt>
                <c:pt idx="6">
                  <c:v>F3_all</c:v>
                </c:pt>
                <c:pt idx="7">
                  <c:v>FPGA</c:v>
                </c:pt>
              </c:strCache>
            </c:strRef>
          </c:cat>
          <c:val>
            <c:numRef>
              <c:f>Table!$X$37:$AE$37</c:f>
              <c:numCache>
                <c:formatCode>General</c:formatCode>
                <c:ptCount val="8"/>
                <c:pt idx="0">
                  <c:v>43</c:v>
                </c:pt>
                <c:pt idx="1">
                  <c:v>254</c:v>
                </c:pt>
                <c:pt idx="2">
                  <c:v>387</c:v>
                </c:pt>
                <c:pt idx="3">
                  <c:v>360</c:v>
                </c:pt>
                <c:pt idx="4">
                  <c:v>195</c:v>
                </c:pt>
                <c:pt idx="5">
                  <c:v>406</c:v>
                </c:pt>
                <c:pt idx="6">
                  <c:v>105</c:v>
                </c:pt>
                <c:pt idx="7">
                  <c:v>254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aseline="0"/>
              <a:t>Test Case Ratio</a:t>
            </a:r>
            <a:endParaRPr lang="ko-KR" sz="1400"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VerificationStatusSummary!$G$3</c:f>
              <c:strCache>
                <c:ptCount val="1"/>
                <c:pt idx="0">
                  <c:v>RTL Sim.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VerificationStatusSummary!$G$6:$G$33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VerificationStatusSummary!$R$3</c:f>
              <c:strCache>
                <c:ptCount val="1"/>
                <c:pt idx="0">
                  <c:v>FPGA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VerificationStatusSummary!$R$6:$R$33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VerificationStatusSummary!$W$3</c:f>
              <c:strCache>
                <c:ptCount val="1"/>
                <c:pt idx="0">
                  <c:v>POST Sim.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VerificationStatusSummary!$W$6:$W$33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3"/>
          <c:order val="3"/>
          <c:tx>
            <c:strRef>
              <c:f>VerificationStatusSummary!$AB$3</c:f>
              <c:strCache>
                <c:ptCount val="1"/>
                <c:pt idx="0">
                  <c:v>ASIC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VerificationStatusSummary!$AB$6:$AB$33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310953632"/>
        <c:axId val="310953240"/>
        <c:axId val="0"/>
      </c:bar3DChart>
      <c:catAx>
        <c:axId val="3109536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310953240"/>
        <c:crosses val="autoZero"/>
        <c:auto val="1"/>
        <c:lblAlgn val="ctr"/>
        <c:lblOffset val="100"/>
        <c:noMultiLvlLbl val="0"/>
      </c:catAx>
      <c:valAx>
        <c:axId val="310953240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one"/>
        <c:crossAx val="31095363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Progress</a:t>
            </a:r>
            <a:endParaRPr lang="ko-KR" altLang="en-US" sz="140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1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VerificationStatusSummary!$AD$36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(VerificationStatusSummary!$M$36,VerificationStatusSummary!$T$36,VerificationStatusSummary!$Y$36)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0"/>
          <c:order val="1"/>
          <c:tx>
            <c:strRef>
              <c:f>VerificationStatusSummary!$AB$3</c:f>
              <c:strCache>
                <c:ptCount val="1"/>
                <c:pt idx="0">
                  <c:v>ASIC</c:v>
                </c:pt>
              </c:strCache>
            </c:strRef>
          </c:tx>
          <c:invertIfNegative val="0"/>
          <c:cat>
            <c:strRef>
              <c:f>VerificationStatusSummary!$AD$36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VerificationStatusSummary!$AD$36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gapDepth val="55"/>
        <c:shape val="box"/>
        <c:axId val="310952456"/>
        <c:axId val="310952064"/>
        <c:axId val="0"/>
      </c:bar3DChart>
      <c:catAx>
        <c:axId val="310952456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crossAx val="310952064"/>
        <c:crosses val="autoZero"/>
        <c:auto val="1"/>
        <c:lblAlgn val="ctr"/>
        <c:lblOffset val="100"/>
        <c:noMultiLvlLbl val="0"/>
      </c:catAx>
      <c:valAx>
        <c:axId val="31095206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310952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Level(whole)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2.1538819744306156E-2"/>
                  <c:y val="3.097133694043125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7.8518965371264082E-3"/>
                  <c:y val="9.05648944276382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Table!$X$4:$AF$4</c:f>
              <c:strCache>
                <c:ptCount val="9"/>
                <c:pt idx="0">
                  <c:v>etc.</c:v>
                </c:pt>
                <c:pt idx="1">
                  <c:v>F0</c:v>
                </c:pt>
                <c:pt idx="2">
                  <c:v>F1</c:v>
                </c:pt>
                <c:pt idx="3">
                  <c:v>F1_all</c:v>
                </c:pt>
                <c:pt idx="4">
                  <c:v>F2_all</c:v>
                </c:pt>
                <c:pt idx="5">
                  <c:v>F3</c:v>
                </c:pt>
                <c:pt idx="6">
                  <c:v>F3_all</c:v>
                </c:pt>
                <c:pt idx="7">
                  <c:v>FPGA</c:v>
                </c:pt>
                <c:pt idx="8">
                  <c:v>ASIC</c:v>
                </c:pt>
              </c:strCache>
            </c:strRef>
          </c:cat>
          <c:val>
            <c:numRef>
              <c:f>Table!$X$37:$AF$37</c:f>
              <c:numCache>
                <c:formatCode>General</c:formatCode>
                <c:ptCount val="9"/>
                <c:pt idx="0">
                  <c:v>43</c:v>
                </c:pt>
                <c:pt idx="1">
                  <c:v>254</c:v>
                </c:pt>
                <c:pt idx="2">
                  <c:v>387</c:v>
                </c:pt>
                <c:pt idx="3">
                  <c:v>360</c:v>
                </c:pt>
                <c:pt idx="4">
                  <c:v>195</c:v>
                </c:pt>
                <c:pt idx="5">
                  <c:v>406</c:v>
                </c:pt>
                <c:pt idx="6">
                  <c:v>105</c:v>
                </c:pt>
                <c:pt idx="7">
                  <c:v>254</c:v>
                </c:pt>
                <c:pt idx="8">
                  <c:v>29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Category(RTL sim.)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2"/>
              <c:layout>
                <c:manualLayout>
                  <c:x val="-0.10835979171958346"/>
                  <c:y val="0.14995275590551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5181610363220731E-2"/>
                  <c:y val="5.93374578177731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0112183557700449"/>
                  <c:y val="6.37352830896138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Table!$D$4:$H$4</c:f>
              <c:strCache>
                <c:ptCount val="5"/>
                <c:pt idx="0">
                  <c:v>Sanity Test</c:v>
                </c:pt>
                <c:pt idx="1">
                  <c:v>Function Test</c:v>
                </c:pt>
                <c:pt idx="2">
                  <c:v>Comprehensive Test</c:v>
                </c:pt>
                <c:pt idx="3">
                  <c:v>Performance &amp; Regression Test</c:v>
                </c:pt>
                <c:pt idx="4">
                  <c:v>Specific &amp; Etc. Test</c:v>
                </c:pt>
              </c:strCache>
            </c:strRef>
          </c:cat>
          <c:val>
            <c:numRef>
              <c:f>Table!$D$37:$H$37</c:f>
              <c:numCache>
                <c:formatCode>General</c:formatCode>
                <c:ptCount val="5"/>
                <c:pt idx="0">
                  <c:v>496</c:v>
                </c:pt>
                <c:pt idx="1">
                  <c:v>934</c:v>
                </c:pt>
                <c:pt idx="2">
                  <c:v>212</c:v>
                </c:pt>
                <c:pt idx="3">
                  <c:v>33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u="none" strike="noStrike" baseline="0"/>
              <a:t>Test Category(FPGA)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7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Table!$I$4:$M$4</c:f>
              <c:strCache>
                <c:ptCount val="5"/>
                <c:pt idx="0">
                  <c:v>Sanity Test</c:v>
                </c:pt>
                <c:pt idx="1">
                  <c:v>Function Test</c:v>
                </c:pt>
                <c:pt idx="2">
                  <c:v>Comprehensive Test</c:v>
                </c:pt>
                <c:pt idx="3">
                  <c:v>Performance &amp; Regression Test</c:v>
                </c:pt>
                <c:pt idx="4">
                  <c:v>Specific &amp; Etc. Test</c:v>
                </c:pt>
              </c:strCache>
            </c:strRef>
          </c:cat>
          <c:val>
            <c:numRef>
              <c:f>Table!$I$37:$M$37</c:f>
              <c:numCache>
                <c:formatCode>General</c:formatCode>
                <c:ptCount val="5"/>
                <c:pt idx="0">
                  <c:v>97</c:v>
                </c:pt>
                <c:pt idx="1">
                  <c:v>664</c:v>
                </c:pt>
                <c:pt idx="2">
                  <c:v>206</c:v>
                </c:pt>
                <c:pt idx="3">
                  <c:v>48</c:v>
                </c:pt>
                <c:pt idx="4">
                  <c:v>89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/>
              <a:t>Test Level(w/o ASIC)</a:t>
            </a:r>
            <a:endParaRPr lang="ko-KR" altLang="ko-KR" sz="1800" b="1" i="0" baseline="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2.1141599724276892E-3"/>
                  <c:y val="5.411837899984429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6106789681592831E-2"/>
                  <c:y val="-2.235409786270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Table!$X$4:$AE$4</c:f>
              <c:strCache>
                <c:ptCount val="8"/>
                <c:pt idx="0">
                  <c:v>etc.</c:v>
                </c:pt>
                <c:pt idx="1">
                  <c:v>F0</c:v>
                </c:pt>
                <c:pt idx="2">
                  <c:v>F1</c:v>
                </c:pt>
                <c:pt idx="3">
                  <c:v>F1_all</c:v>
                </c:pt>
                <c:pt idx="4">
                  <c:v>F2_all</c:v>
                </c:pt>
                <c:pt idx="5">
                  <c:v>F3</c:v>
                </c:pt>
                <c:pt idx="6">
                  <c:v>F3_all</c:v>
                </c:pt>
                <c:pt idx="7">
                  <c:v>FPGA</c:v>
                </c:pt>
              </c:strCache>
            </c:strRef>
          </c:cat>
          <c:val>
            <c:numRef>
              <c:f>Table!$X$37:$AE$37</c:f>
              <c:numCache>
                <c:formatCode>General</c:formatCode>
                <c:ptCount val="8"/>
                <c:pt idx="0">
                  <c:v>43</c:v>
                </c:pt>
                <c:pt idx="1">
                  <c:v>254</c:v>
                </c:pt>
                <c:pt idx="2">
                  <c:v>387</c:v>
                </c:pt>
                <c:pt idx="3">
                  <c:v>360</c:v>
                </c:pt>
                <c:pt idx="4">
                  <c:v>195</c:v>
                </c:pt>
                <c:pt idx="5">
                  <c:v>406</c:v>
                </c:pt>
                <c:pt idx="6">
                  <c:v>105</c:v>
                </c:pt>
                <c:pt idx="7">
                  <c:v>254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Case(RTL</a:t>
            </a:r>
            <a:r>
              <a:rPr lang="en-US" altLang="ko-KR" baseline="0"/>
              <a:t> sim.</a:t>
            </a:r>
            <a:r>
              <a:rPr lang="en-US" altLang="ko-KR"/>
              <a:t>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VerificationStatusSummary!$G$6:$G$33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</a:t>
            </a:r>
            <a:r>
              <a:rPr lang="en-US" altLang="ko-KR" baseline="0"/>
              <a:t> Case Ratio: </a:t>
            </a:r>
            <a:r>
              <a:rPr lang="en-US" altLang="ko-KR"/>
              <a:t>FPGA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VerificationStatusSummary!$C$6:$C$33</c:f>
              <c:strCache>
                <c:ptCount val="28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</c:strCache>
            </c:strRef>
          </c:cat>
          <c:val>
            <c:numRef>
              <c:f>VerificationStatusSummary!$R$6:$R$33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</a:t>
            </a:r>
            <a:r>
              <a:rPr lang="en-US" altLang="ko-KR" baseline="0"/>
              <a:t> Case Ratio: </a:t>
            </a:r>
            <a:r>
              <a:rPr lang="en-US" altLang="ko-KR"/>
              <a:t>FPGA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VerificationStatusSummary!$C$6:$C$34</c:f>
              <c:strCache>
                <c:ptCount val="29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Data Buffer</c:v>
                </c:pt>
                <c:pt idx="8">
                  <c:v>DMA</c:v>
                </c:pt>
                <c:pt idx="9">
                  <c:v>Back Bone</c:v>
                </c:pt>
                <c:pt idx="10">
                  <c:v>System Controller</c:v>
                </c:pt>
                <c:pt idx="11">
                  <c:v>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Clock Controller</c:v>
                </c:pt>
                <c:pt idx="18">
                  <c:v>Reset Controller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Test Mux</c:v>
                </c:pt>
                <c:pt idx="24">
                  <c:v>HW Bypass</c:v>
                </c:pt>
                <c:pt idx="25">
                  <c:v>Analog IP</c:v>
                </c:pt>
                <c:pt idx="26">
                  <c:v>GPIO</c:v>
                </c:pt>
                <c:pt idx="27">
                  <c:v>End to End</c:v>
                </c:pt>
                <c:pt idx="28">
                  <c:v>Post-Silicon Validation</c:v>
                </c:pt>
              </c:strCache>
            </c:strRef>
          </c:cat>
          <c:val>
            <c:numRef>
              <c:f>VerificationStatusSummary!$AB$6:$AB$34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3531833595279237"/>
          <c:h val="0.78997118845486369"/>
        </c:manualLayout>
      </c:layout>
      <c:lineChart>
        <c:grouping val="standard"/>
        <c:varyColors val="0"/>
        <c:ser>
          <c:idx val="0"/>
          <c:order val="0"/>
          <c:tx>
            <c:v>RTL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'임시_history(v1)'!$E$7:$E$44</c:f>
              <c:numCache>
                <c:formatCode>0.0%</c:formatCode>
                <c:ptCount val="38"/>
                <c:pt idx="0">
                  <c:v>4.2882882882882882E-2</c:v>
                </c:pt>
                <c:pt idx="1">
                  <c:v>4.2882882882882882E-2</c:v>
                </c:pt>
                <c:pt idx="2">
                  <c:v>0.35371902709916708</c:v>
                </c:pt>
                <c:pt idx="3">
                  <c:v>0.42027639119546384</c:v>
                </c:pt>
                <c:pt idx="4">
                  <c:v>0.51085411777206091</c:v>
                </c:pt>
                <c:pt idx="5">
                  <c:v>0.57702302836219033</c:v>
                </c:pt>
                <c:pt idx="6">
                  <c:v>0.58473524368310126</c:v>
                </c:pt>
                <c:pt idx="7">
                  <c:v>0.62995452895840354</c:v>
                </c:pt>
                <c:pt idx="8">
                  <c:v>0.63863236099290466</c:v>
                </c:pt>
                <c:pt idx="9">
                  <c:v>0.63665260304778204</c:v>
                </c:pt>
                <c:pt idx="10">
                  <c:v>0.67063932026431283</c:v>
                </c:pt>
                <c:pt idx="11">
                  <c:v>0.67291684180519629</c:v>
                </c:pt>
                <c:pt idx="12">
                  <c:v>0.58809226336042264</c:v>
                </c:pt>
                <c:pt idx="13">
                  <c:v>0.57804911785236357</c:v>
                </c:pt>
                <c:pt idx="14">
                  <c:v>0.56702413938552465</c:v>
                </c:pt>
                <c:pt idx="15">
                  <c:v>0.60032105261453594</c:v>
                </c:pt>
                <c:pt idx="16">
                  <c:v>0.64425878155226479</c:v>
                </c:pt>
                <c:pt idx="17">
                  <c:v>0.64251097207686636</c:v>
                </c:pt>
                <c:pt idx="18">
                  <c:v>0.84623705636371749</c:v>
                </c:pt>
                <c:pt idx="19">
                  <c:v>0.88820962401531556</c:v>
                </c:pt>
                <c:pt idx="20">
                  <c:v>0.91096846239915386</c:v>
                </c:pt>
                <c:pt idx="21">
                  <c:v>0.91823698091767247</c:v>
                </c:pt>
                <c:pt idx="22">
                  <c:v>0.91871156334323534</c:v>
                </c:pt>
                <c:pt idx="23">
                  <c:v>0.93098148477982334</c:v>
                </c:pt>
                <c:pt idx="24">
                  <c:v>0.93998360800837799</c:v>
                </c:pt>
                <c:pt idx="25">
                  <c:v>0.93857019433036082</c:v>
                </c:pt>
                <c:pt idx="26">
                  <c:v>0.94503465511467455</c:v>
                </c:pt>
                <c:pt idx="27">
                  <c:v>0.94579223087225028</c:v>
                </c:pt>
                <c:pt idx="28">
                  <c:v>0.95569039855995253</c:v>
                </c:pt>
                <c:pt idx="29">
                  <c:v>0.96203960490915885</c:v>
                </c:pt>
                <c:pt idx="30">
                  <c:v>0.96501518528155439</c:v>
                </c:pt>
                <c:pt idx="31">
                  <c:v>0.96709851861488771</c:v>
                </c:pt>
                <c:pt idx="32">
                  <c:v>0.98159605714041853</c:v>
                </c:pt>
                <c:pt idx="33">
                  <c:v>0.98065881922551357</c:v>
                </c:pt>
                <c:pt idx="34">
                  <c:v>0.97390030577791942</c:v>
                </c:pt>
                <c:pt idx="35">
                  <c:v>0.98013370074377937</c:v>
                </c:pt>
                <c:pt idx="36">
                  <c:v>0.98084292060193534</c:v>
                </c:pt>
                <c:pt idx="37">
                  <c:v>0</c:v>
                </c:pt>
              </c:numCache>
            </c:numRef>
          </c:val>
          <c:smooth val="1"/>
        </c:ser>
        <c:ser>
          <c:idx val="3"/>
          <c:order val="1"/>
          <c:tx>
            <c:v>FPGA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'임시_history(v1)'!$O$7:$O$44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3.7037037037037035E-2</c:v>
                </c:pt>
                <c:pt idx="8">
                  <c:v>8.3859649122807009E-2</c:v>
                </c:pt>
                <c:pt idx="9">
                  <c:v>0.15235816814764183</c:v>
                </c:pt>
                <c:pt idx="10">
                  <c:v>0.13904761904761906</c:v>
                </c:pt>
                <c:pt idx="11">
                  <c:v>0.15429487179487181</c:v>
                </c:pt>
                <c:pt idx="12">
                  <c:v>0.13939560439560442</c:v>
                </c:pt>
                <c:pt idx="13">
                  <c:v>0.20858807858807857</c:v>
                </c:pt>
                <c:pt idx="14">
                  <c:v>0.19468220668220668</c:v>
                </c:pt>
                <c:pt idx="15">
                  <c:v>0.25747863247863251</c:v>
                </c:pt>
                <c:pt idx="16">
                  <c:v>0.26517094017094017</c:v>
                </c:pt>
                <c:pt idx="17">
                  <c:v>0.367684766214178</c:v>
                </c:pt>
                <c:pt idx="18">
                  <c:v>0.58245564892623714</c:v>
                </c:pt>
                <c:pt idx="19">
                  <c:v>0.55096144340088982</c:v>
                </c:pt>
                <c:pt idx="20">
                  <c:v>0.55994698007572741</c:v>
                </c:pt>
                <c:pt idx="21">
                  <c:v>0.58072834525337735</c:v>
                </c:pt>
                <c:pt idx="22">
                  <c:v>0.59414182475158084</c:v>
                </c:pt>
                <c:pt idx="23">
                  <c:v>0.66690095588840503</c:v>
                </c:pt>
                <c:pt idx="24">
                  <c:v>0.72485908447006853</c:v>
                </c:pt>
                <c:pt idx="25">
                  <c:v>0.86759792457732976</c:v>
                </c:pt>
                <c:pt idx="26">
                  <c:v>0.89375891528940399</c:v>
                </c:pt>
                <c:pt idx="27">
                  <c:v>0.90255552317741039</c:v>
                </c:pt>
                <c:pt idx="28">
                  <c:v>0.91733454703790951</c:v>
                </c:pt>
                <c:pt idx="29">
                  <c:v>0.91733454703790951</c:v>
                </c:pt>
                <c:pt idx="30">
                  <c:v>0.92676372874731283</c:v>
                </c:pt>
                <c:pt idx="31">
                  <c:v>0.9323138306879607</c:v>
                </c:pt>
                <c:pt idx="32">
                  <c:v>0.95007424245082051</c:v>
                </c:pt>
                <c:pt idx="33">
                  <c:v>0.95059880968285393</c:v>
                </c:pt>
                <c:pt idx="34">
                  <c:v>0.92911053586537784</c:v>
                </c:pt>
                <c:pt idx="35">
                  <c:v>0.93791452257634145</c:v>
                </c:pt>
                <c:pt idx="36">
                  <c:v>0.93791452257634145</c:v>
                </c:pt>
                <c:pt idx="37">
                  <c:v>0</c:v>
                </c:pt>
              </c:numCache>
            </c:numRef>
          </c:val>
          <c:smooth val="1"/>
        </c:ser>
        <c:ser>
          <c:idx val="1"/>
          <c:order val="2"/>
          <c:tx>
            <c:v>Cov.2/3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'임시_history(v1)'!$F$7:$F$44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2.7741935483870966E-2</c:v>
                </c:pt>
                <c:pt idx="6">
                  <c:v>2.7741935483870966E-2</c:v>
                </c:pt>
                <c:pt idx="7">
                  <c:v>2.7741935483870966E-2</c:v>
                </c:pt>
                <c:pt idx="8">
                  <c:v>2.7741935483870966E-2</c:v>
                </c:pt>
                <c:pt idx="9">
                  <c:v>2.7741935483870966E-2</c:v>
                </c:pt>
                <c:pt idx="10">
                  <c:v>2.7741935483870966E-2</c:v>
                </c:pt>
                <c:pt idx="11">
                  <c:v>2.7741935483870966E-2</c:v>
                </c:pt>
                <c:pt idx="12">
                  <c:v>2.7741935483870966E-2</c:v>
                </c:pt>
                <c:pt idx="13">
                  <c:v>2.7741935483870966E-2</c:v>
                </c:pt>
                <c:pt idx="14">
                  <c:v>2.7741935483870966E-2</c:v>
                </c:pt>
                <c:pt idx="15">
                  <c:v>2.7741935483870966E-2</c:v>
                </c:pt>
                <c:pt idx="16">
                  <c:v>2.7741935483870966E-2</c:v>
                </c:pt>
                <c:pt idx="17">
                  <c:v>2.7741935483870966E-2</c:v>
                </c:pt>
                <c:pt idx="18">
                  <c:v>6.0357142857142852E-2</c:v>
                </c:pt>
                <c:pt idx="19">
                  <c:v>0.16071538461538459</c:v>
                </c:pt>
                <c:pt idx="20">
                  <c:v>0.46806956521739135</c:v>
                </c:pt>
                <c:pt idx="21">
                  <c:v>0.75846521739130424</c:v>
                </c:pt>
                <c:pt idx="22">
                  <c:v>0.82683636363636348</c:v>
                </c:pt>
                <c:pt idx="23">
                  <c:v>0.86620952380952365</c:v>
                </c:pt>
                <c:pt idx="24">
                  <c:v>0.90032857142857126</c:v>
                </c:pt>
                <c:pt idx="25">
                  <c:v>0.90032857142857126</c:v>
                </c:pt>
                <c:pt idx="26">
                  <c:v>0.90032857142857126</c:v>
                </c:pt>
                <c:pt idx="27">
                  <c:v>0.90032857142857126</c:v>
                </c:pt>
                <c:pt idx="28">
                  <c:v>0.90032857142857126</c:v>
                </c:pt>
                <c:pt idx="29">
                  <c:v>0.90032857142857126</c:v>
                </c:pt>
                <c:pt idx="30">
                  <c:v>0.90270952380952374</c:v>
                </c:pt>
                <c:pt idx="31">
                  <c:v>0.90270952380952374</c:v>
                </c:pt>
                <c:pt idx="32">
                  <c:v>0.90270952380952374</c:v>
                </c:pt>
                <c:pt idx="33">
                  <c:v>0.90270952380952374</c:v>
                </c:pt>
                <c:pt idx="34">
                  <c:v>0.90270952380952374</c:v>
                </c:pt>
                <c:pt idx="35">
                  <c:v>0.90270952380952374</c:v>
                </c:pt>
                <c:pt idx="36">
                  <c:v>0.90270952380952374</c:v>
                </c:pt>
                <c:pt idx="37">
                  <c:v>0</c:v>
                </c:pt>
              </c:numCache>
            </c:numRef>
          </c:val>
          <c:smooth val="1"/>
        </c:ser>
        <c:ser>
          <c:idx val="4"/>
          <c:order val="3"/>
          <c:tx>
            <c:v>Cov.0/1</c:v>
          </c:tx>
          <c:val>
            <c:numRef>
              <c:f>'임시_history(v1)'!$G$7:$G$44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0.11032258064516129</c:v>
                </c:pt>
                <c:pt idx="3">
                  <c:v>0.12774193548387097</c:v>
                </c:pt>
                <c:pt idx="4">
                  <c:v>0.21096774193548387</c:v>
                </c:pt>
                <c:pt idx="5">
                  <c:v>0.39935483870967736</c:v>
                </c:pt>
                <c:pt idx="6">
                  <c:v>0.47866666666666657</c:v>
                </c:pt>
                <c:pt idx="7">
                  <c:v>0.5003333333333333</c:v>
                </c:pt>
                <c:pt idx="8">
                  <c:v>0.5003333333333333</c:v>
                </c:pt>
                <c:pt idx="9">
                  <c:v>0.5003333333333333</c:v>
                </c:pt>
                <c:pt idx="10">
                  <c:v>0.47433333333333327</c:v>
                </c:pt>
                <c:pt idx="11">
                  <c:v>0.47433333333333327</c:v>
                </c:pt>
                <c:pt idx="12">
                  <c:v>0.47433333333333327</c:v>
                </c:pt>
                <c:pt idx="13">
                  <c:v>0.48870967741935478</c:v>
                </c:pt>
                <c:pt idx="14">
                  <c:v>0.48419354838709672</c:v>
                </c:pt>
                <c:pt idx="15">
                  <c:v>0.48419354838709672</c:v>
                </c:pt>
                <c:pt idx="16">
                  <c:v>0.51322580645161286</c:v>
                </c:pt>
                <c:pt idx="17">
                  <c:v>0.51919032258064524</c:v>
                </c:pt>
                <c:pt idx="18">
                  <c:v>0.59127586206896554</c:v>
                </c:pt>
                <c:pt idx="19">
                  <c:v>0.72753846153846158</c:v>
                </c:pt>
                <c:pt idx="20">
                  <c:v>0.7640769230769231</c:v>
                </c:pt>
                <c:pt idx="21">
                  <c:v>0.82177307692307677</c:v>
                </c:pt>
                <c:pt idx="22">
                  <c:v>0.83819615384615365</c:v>
                </c:pt>
                <c:pt idx="23">
                  <c:v>0.87172399999999983</c:v>
                </c:pt>
                <c:pt idx="24">
                  <c:v>0.90019199999999988</c:v>
                </c:pt>
                <c:pt idx="25">
                  <c:v>0.90019199999999988</c:v>
                </c:pt>
                <c:pt idx="26">
                  <c:v>0.90019199999999988</c:v>
                </c:pt>
                <c:pt idx="27">
                  <c:v>0.90019199999999988</c:v>
                </c:pt>
                <c:pt idx="28">
                  <c:v>0.90019199999999988</c:v>
                </c:pt>
                <c:pt idx="29">
                  <c:v>0.90019199999999988</c:v>
                </c:pt>
                <c:pt idx="30">
                  <c:v>0.90219199999999988</c:v>
                </c:pt>
                <c:pt idx="31">
                  <c:v>0.90219199999999988</c:v>
                </c:pt>
                <c:pt idx="32">
                  <c:v>0.86539199999999983</c:v>
                </c:pt>
                <c:pt idx="33">
                  <c:v>0.90144999999999975</c:v>
                </c:pt>
                <c:pt idx="34">
                  <c:v>0.90144999999999975</c:v>
                </c:pt>
                <c:pt idx="35">
                  <c:v>0.90144999999999975</c:v>
                </c:pt>
                <c:pt idx="36">
                  <c:v>0.90144999999999975</c:v>
                </c:pt>
                <c:pt idx="3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531408"/>
        <c:axId val="325531800"/>
      </c:lineChart>
      <c:dateAx>
        <c:axId val="325531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ko-KR"/>
          </a:p>
        </c:txPr>
        <c:crossAx val="325531800"/>
        <c:crosses val="autoZero"/>
        <c:auto val="0"/>
        <c:lblOffset val="100"/>
        <c:baseTimeUnit val="days"/>
      </c:dateAx>
      <c:valAx>
        <c:axId val="32553180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5531408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3531833595279237"/>
          <c:h val="0.78997118845486369"/>
        </c:manualLayout>
      </c:layout>
      <c:lineChart>
        <c:grouping val="standard"/>
        <c:varyColors val="0"/>
        <c:ser>
          <c:idx val="0"/>
          <c:order val="0"/>
          <c:tx>
            <c:v>RTL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'임시_history(v1)'!$E$7:$E$44</c:f>
              <c:numCache>
                <c:formatCode>0.0%</c:formatCode>
                <c:ptCount val="38"/>
                <c:pt idx="0">
                  <c:v>4.2882882882882882E-2</c:v>
                </c:pt>
                <c:pt idx="1">
                  <c:v>4.2882882882882882E-2</c:v>
                </c:pt>
                <c:pt idx="2">
                  <c:v>0.35371902709916708</c:v>
                </c:pt>
                <c:pt idx="3">
                  <c:v>0.42027639119546384</c:v>
                </c:pt>
                <c:pt idx="4">
                  <c:v>0.51085411777206091</c:v>
                </c:pt>
                <c:pt idx="5">
                  <c:v>0.57702302836219033</c:v>
                </c:pt>
                <c:pt idx="6">
                  <c:v>0.58473524368310126</c:v>
                </c:pt>
                <c:pt idx="7">
                  <c:v>0.62995452895840354</c:v>
                </c:pt>
                <c:pt idx="8">
                  <c:v>0.63863236099290466</c:v>
                </c:pt>
                <c:pt idx="9">
                  <c:v>0.63665260304778204</c:v>
                </c:pt>
                <c:pt idx="10">
                  <c:v>0.67063932026431283</c:v>
                </c:pt>
                <c:pt idx="11">
                  <c:v>0.67291684180519629</c:v>
                </c:pt>
                <c:pt idx="12">
                  <c:v>0.58809226336042264</c:v>
                </c:pt>
                <c:pt idx="13">
                  <c:v>0.57804911785236357</c:v>
                </c:pt>
                <c:pt idx="14">
                  <c:v>0.56702413938552465</c:v>
                </c:pt>
                <c:pt idx="15">
                  <c:v>0.60032105261453594</c:v>
                </c:pt>
                <c:pt idx="16">
                  <c:v>0.64425878155226479</c:v>
                </c:pt>
                <c:pt idx="17">
                  <c:v>0.64251097207686636</c:v>
                </c:pt>
                <c:pt idx="18">
                  <c:v>0.84623705636371749</c:v>
                </c:pt>
                <c:pt idx="19">
                  <c:v>0.88820962401531556</c:v>
                </c:pt>
                <c:pt idx="20">
                  <c:v>0.91096846239915386</c:v>
                </c:pt>
                <c:pt idx="21">
                  <c:v>0.91823698091767247</c:v>
                </c:pt>
                <c:pt idx="22">
                  <c:v>0.91871156334323534</c:v>
                </c:pt>
                <c:pt idx="23">
                  <c:v>0.93098148477982334</c:v>
                </c:pt>
                <c:pt idx="24">
                  <c:v>0.93998360800837799</c:v>
                </c:pt>
                <c:pt idx="25">
                  <c:v>0.93857019433036082</c:v>
                </c:pt>
                <c:pt idx="26">
                  <c:v>0.94503465511467455</c:v>
                </c:pt>
                <c:pt idx="27">
                  <c:v>0.94579223087225028</c:v>
                </c:pt>
                <c:pt idx="28">
                  <c:v>0.95569039855995253</c:v>
                </c:pt>
                <c:pt idx="29">
                  <c:v>0.96203960490915885</c:v>
                </c:pt>
                <c:pt idx="30">
                  <c:v>0.96501518528155439</c:v>
                </c:pt>
                <c:pt idx="31">
                  <c:v>0.96709851861488771</c:v>
                </c:pt>
                <c:pt idx="32">
                  <c:v>0.98159605714041853</c:v>
                </c:pt>
                <c:pt idx="33">
                  <c:v>0.98065881922551357</c:v>
                </c:pt>
                <c:pt idx="34">
                  <c:v>0.97390030577791942</c:v>
                </c:pt>
                <c:pt idx="35">
                  <c:v>0.98013370074377937</c:v>
                </c:pt>
                <c:pt idx="36">
                  <c:v>0.98084292060193534</c:v>
                </c:pt>
                <c:pt idx="37">
                  <c:v>0</c:v>
                </c:pt>
              </c:numCache>
            </c:numRef>
          </c:val>
          <c:smooth val="1"/>
        </c:ser>
        <c:ser>
          <c:idx val="3"/>
          <c:order val="1"/>
          <c:tx>
            <c:v>FPGA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'임시_history(v1)'!$O$7:$O$44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3.7037037037037035E-2</c:v>
                </c:pt>
                <c:pt idx="8">
                  <c:v>8.3859649122807009E-2</c:v>
                </c:pt>
                <c:pt idx="9">
                  <c:v>0.15235816814764183</c:v>
                </c:pt>
                <c:pt idx="10">
                  <c:v>0.13904761904761906</c:v>
                </c:pt>
                <c:pt idx="11">
                  <c:v>0.15429487179487181</c:v>
                </c:pt>
                <c:pt idx="12">
                  <c:v>0.13939560439560442</c:v>
                </c:pt>
                <c:pt idx="13">
                  <c:v>0.20858807858807857</c:v>
                </c:pt>
                <c:pt idx="14">
                  <c:v>0.19468220668220668</c:v>
                </c:pt>
                <c:pt idx="15">
                  <c:v>0.25747863247863251</c:v>
                </c:pt>
                <c:pt idx="16">
                  <c:v>0.26517094017094017</c:v>
                </c:pt>
                <c:pt idx="17">
                  <c:v>0.367684766214178</c:v>
                </c:pt>
                <c:pt idx="18">
                  <c:v>0.58245564892623714</c:v>
                </c:pt>
                <c:pt idx="19">
                  <c:v>0.55096144340088982</c:v>
                </c:pt>
                <c:pt idx="20">
                  <c:v>0.55994698007572741</c:v>
                </c:pt>
                <c:pt idx="21">
                  <c:v>0.58072834525337735</c:v>
                </c:pt>
                <c:pt idx="22">
                  <c:v>0.59414182475158084</c:v>
                </c:pt>
                <c:pt idx="23">
                  <c:v>0.66690095588840503</c:v>
                </c:pt>
                <c:pt idx="24">
                  <c:v>0.72485908447006853</c:v>
                </c:pt>
                <c:pt idx="25">
                  <c:v>0.86759792457732976</c:v>
                </c:pt>
                <c:pt idx="26">
                  <c:v>0.89375891528940399</c:v>
                </c:pt>
                <c:pt idx="27">
                  <c:v>0.90255552317741039</c:v>
                </c:pt>
                <c:pt idx="28">
                  <c:v>0.91733454703790951</c:v>
                </c:pt>
                <c:pt idx="29">
                  <c:v>0.91733454703790951</c:v>
                </c:pt>
                <c:pt idx="30">
                  <c:v>0.92676372874731283</c:v>
                </c:pt>
                <c:pt idx="31">
                  <c:v>0.9323138306879607</c:v>
                </c:pt>
                <c:pt idx="32">
                  <c:v>0.95007424245082051</c:v>
                </c:pt>
                <c:pt idx="33">
                  <c:v>0.95059880968285393</c:v>
                </c:pt>
                <c:pt idx="34">
                  <c:v>0.92911053586537784</c:v>
                </c:pt>
                <c:pt idx="35">
                  <c:v>0.93791452257634145</c:v>
                </c:pt>
                <c:pt idx="36">
                  <c:v>0.93791452257634145</c:v>
                </c:pt>
                <c:pt idx="37">
                  <c:v>0</c:v>
                </c:pt>
              </c:numCache>
            </c:numRef>
          </c:val>
          <c:smooth val="1"/>
        </c:ser>
        <c:ser>
          <c:idx val="1"/>
          <c:order val="2"/>
          <c:tx>
            <c:v>Cov.2/3</c:v>
          </c:tx>
          <c:cat>
            <c:numRef>
              <c:f>'임시_history(v1)'!$B$7:$B$44</c:f>
              <c:numCache>
                <c:formatCode>m/d/yyyy</c:formatCode>
                <c:ptCount val="38"/>
                <c:pt idx="0">
                  <c:v>41533</c:v>
                </c:pt>
                <c:pt idx="1">
                  <c:v>41548</c:v>
                </c:pt>
                <c:pt idx="2">
                  <c:v>41568</c:v>
                </c:pt>
                <c:pt idx="3">
                  <c:v>41574</c:v>
                </c:pt>
                <c:pt idx="4">
                  <c:v>41582</c:v>
                </c:pt>
                <c:pt idx="5">
                  <c:v>41586</c:v>
                </c:pt>
                <c:pt idx="6">
                  <c:v>41589</c:v>
                </c:pt>
                <c:pt idx="7">
                  <c:v>41596</c:v>
                </c:pt>
                <c:pt idx="8">
                  <c:v>41603</c:v>
                </c:pt>
                <c:pt idx="9">
                  <c:v>41604</c:v>
                </c:pt>
                <c:pt idx="10">
                  <c:v>41607</c:v>
                </c:pt>
                <c:pt idx="11">
                  <c:v>41610</c:v>
                </c:pt>
                <c:pt idx="12">
                  <c:v>41613</c:v>
                </c:pt>
                <c:pt idx="13">
                  <c:v>41617</c:v>
                </c:pt>
                <c:pt idx="14">
                  <c:v>41618</c:v>
                </c:pt>
                <c:pt idx="15">
                  <c:v>41631</c:v>
                </c:pt>
                <c:pt idx="16">
                  <c:v>41638</c:v>
                </c:pt>
                <c:pt idx="17">
                  <c:v>41645</c:v>
                </c:pt>
                <c:pt idx="18">
                  <c:v>41646</c:v>
                </c:pt>
                <c:pt idx="19">
                  <c:v>41648</c:v>
                </c:pt>
                <c:pt idx="20">
                  <c:v>41652</c:v>
                </c:pt>
                <c:pt idx="21">
                  <c:v>41653</c:v>
                </c:pt>
                <c:pt idx="22">
                  <c:v>41659</c:v>
                </c:pt>
                <c:pt idx="23">
                  <c:v>41660</c:v>
                </c:pt>
                <c:pt idx="24">
                  <c:v>41662</c:v>
                </c:pt>
                <c:pt idx="25">
                  <c:v>41674</c:v>
                </c:pt>
                <c:pt idx="26">
                  <c:v>41676</c:v>
                </c:pt>
                <c:pt idx="27">
                  <c:v>41681</c:v>
                </c:pt>
                <c:pt idx="28">
                  <c:v>41688</c:v>
                </c:pt>
                <c:pt idx="29">
                  <c:v>41691</c:v>
                </c:pt>
                <c:pt idx="30">
                  <c:v>41695</c:v>
                </c:pt>
                <c:pt idx="31">
                  <c:v>41698</c:v>
                </c:pt>
                <c:pt idx="32">
                  <c:v>41704</c:v>
                </c:pt>
                <c:pt idx="33">
                  <c:v>41710</c:v>
                </c:pt>
                <c:pt idx="34">
                  <c:v>41712</c:v>
                </c:pt>
                <c:pt idx="35">
                  <c:v>41719</c:v>
                </c:pt>
                <c:pt idx="36">
                  <c:v>41719</c:v>
                </c:pt>
                <c:pt idx="37">
                  <c:v>41733</c:v>
                </c:pt>
              </c:numCache>
            </c:numRef>
          </c:cat>
          <c:val>
            <c:numRef>
              <c:f>'임시_history(v1)'!$F$7:$F$44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2.7741935483870966E-2</c:v>
                </c:pt>
                <c:pt idx="6">
                  <c:v>2.7741935483870966E-2</c:v>
                </c:pt>
                <c:pt idx="7">
                  <c:v>2.7741935483870966E-2</c:v>
                </c:pt>
                <c:pt idx="8">
                  <c:v>2.7741935483870966E-2</c:v>
                </c:pt>
                <c:pt idx="9">
                  <c:v>2.7741935483870966E-2</c:v>
                </c:pt>
                <c:pt idx="10">
                  <c:v>2.7741935483870966E-2</c:v>
                </c:pt>
                <c:pt idx="11">
                  <c:v>2.7741935483870966E-2</c:v>
                </c:pt>
                <c:pt idx="12">
                  <c:v>2.7741935483870966E-2</c:v>
                </c:pt>
                <c:pt idx="13">
                  <c:v>2.7741935483870966E-2</c:v>
                </c:pt>
                <c:pt idx="14">
                  <c:v>2.7741935483870966E-2</c:v>
                </c:pt>
                <c:pt idx="15">
                  <c:v>2.7741935483870966E-2</c:v>
                </c:pt>
                <c:pt idx="16">
                  <c:v>2.7741935483870966E-2</c:v>
                </c:pt>
                <c:pt idx="17">
                  <c:v>2.7741935483870966E-2</c:v>
                </c:pt>
                <c:pt idx="18">
                  <c:v>6.0357142857142852E-2</c:v>
                </c:pt>
                <c:pt idx="19">
                  <c:v>0.16071538461538459</c:v>
                </c:pt>
                <c:pt idx="20">
                  <c:v>0.46806956521739135</c:v>
                </c:pt>
                <c:pt idx="21">
                  <c:v>0.75846521739130424</c:v>
                </c:pt>
                <c:pt idx="22">
                  <c:v>0.82683636363636348</c:v>
                </c:pt>
                <c:pt idx="23">
                  <c:v>0.86620952380952365</c:v>
                </c:pt>
                <c:pt idx="24">
                  <c:v>0.90032857142857126</c:v>
                </c:pt>
                <c:pt idx="25">
                  <c:v>0.90032857142857126</c:v>
                </c:pt>
                <c:pt idx="26">
                  <c:v>0.90032857142857126</c:v>
                </c:pt>
                <c:pt idx="27">
                  <c:v>0.90032857142857126</c:v>
                </c:pt>
                <c:pt idx="28">
                  <c:v>0.90032857142857126</c:v>
                </c:pt>
                <c:pt idx="29">
                  <c:v>0.90032857142857126</c:v>
                </c:pt>
                <c:pt idx="30">
                  <c:v>0.90270952380952374</c:v>
                </c:pt>
                <c:pt idx="31">
                  <c:v>0.90270952380952374</c:v>
                </c:pt>
                <c:pt idx="32">
                  <c:v>0.90270952380952374</c:v>
                </c:pt>
                <c:pt idx="33">
                  <c:v>0.90270952380952374</c:v>
                </c:pt>
                <c:pt idx="34">
                  <c:v>0.90270952380952374</c:v>
                </c:pt>
                <c:pt idx="35">
                  <c:v>0.90270952380952374</c:v>
                </c:pt>
                <c:pt idx="36">
                  <c:v>0.90270952380952374</c:v>
                </c:pt>
                <c:pt idx="37">
                  <c:v>0</c:v>
                </c:pt>
              </c:numCache>
            </c:numRef>
          </c:val>
          <c:smooth val="1"/>
        </c:ser>
        <c:ser>
          <c:idx val="4"/>
          <c:order val="3"/>
          <c:tx>
            <c:v>Cov.0/1</c:v>
          </c:tx>
          <c:val>
            <c:numRef>
              <c:f>'임시_history(v1)'!$G$7:$G$44</c:f>
              <c:numCache>
                <c:formatCode>0.0%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0.11032258064516129</c:v>
                </c:pt>
                <c:pt idx="3">
                  <c:v>0.12774193548387097</c:v>
                </c:pt>
                <c:pt idx="4">
                  <c:v>0.21096774193548387</c:v>
                </c:pt>
                <c:pt idx="5">
                  <c:v>0.39935483870967736</c:v>
                </c:pt>
                <c:pt idx="6">
                  <c:v>0.47866666666666657</c:v>
                </c:pt>
                <c:pt idx="7">
                  <c:v>0.5003333333333333</c:v>
                </c:pt>
                <c:pt idx="8">
                  <c:v>0.5003333333333333</c:v>
                </c:pt>
                <c:pt idx="9">
                  <c:v>0.5003333333333333</c:v>
                </c:pt>
                <c:pt idx="10">
                  <c:v>0.47433333333333327</c:v>
                </c:pt>
                <c:pt idx="11">
                  <c:v>0.47433333333333327</c:v>
                </c:pt>
                <c:pt idx="12">
                  <c:v>0.47433333333333327</c:v>
                </c:pt>
                <c:pt idx="13">
                  <c:v>0.48870967741935478</c:v>
                </c:pt>
                <c:pt idx="14">
                  <c:v>0.48419354838709672</c:v>
                </c:pt>
                <c:pt idx="15">
                  <c:v>0.48419354838709672</c:v>
                </c:pt>
                <c:pt idx="16">
                  <c:v>0.51322580645161286</c:v>
                </c:pt>
                <c:pt idx="17">
                  <c:v>0.51919032258064524</c:v>
                </c:pt>
                <c:pt idx="18">
                  <c:v>0.59127586206896554</c:v>
                </c:pt>
                <c:pt idx="19">
                  <c:v>0.72753846153846158</c:v>
                </c:pt>
                <c:pt idx="20">
                  <c:v>0.7640769230769231</c:v>
                </c:pt>
                <c:pt idx="21">
                  <c:v>0.82177307692307677</c:v>
                </c:pt>
                <c:pt idx="22">
                  <c:v>0.83819615384615365</c:v>
                </c:pt>
                <c:pt idx="23">
                  <c:v>0.87172399999999983</c:v>
                </c:pt>
                <c:pt idx="24">
                  <c:v>0.90019199999999988</c:v>
                </c:pt>
                <c:pt idx="25">
                  <c:v>0.90019199999999988</c:v>
                </c:pt>
                <c:pt idx="26">
                  <c:v>0.90019199999999988</c:v>
                </c:pt>
                <c:pt idx="27">
                  <c:v>0.90019199999999988</c:v>
                </c:pt>
                <c:pt idx="28">
                  <c:v>0.90019199999999988</c:v>
                </c:pt>
                <c:pt idx="29">
                  <c:v>0.90019199999999988</c:v>
                </c:pt>
                <c:pt idx="30">
                  <c:v>0.90219199999999988</c:v>
                </c:pt>
                <c:pt idx="31">
                  <c:v>0.90219199999999988</c:v>
                </c:pt>
                <c:pt idx="32">
                  <c:v>0.86539199999999983</c:v>
                </c:pt>
                <c:pt idx="33">
                  <c:v>0.90144999999999975</c:v>
                </c:pt>
                <c:pt idx="34">
                  <c:v>0.90144999999999975</c:v>
                </c:pt>
                <c:pt idx="35">
                  <c:v>0.90144999999999975</c:v>
                </c:pt>
                <c:pt idx="36">
                  <c:v>0.90144999999999975</c:v>
                </c:pt>
                <c:pt idx="3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532584"/>
        <c:axId val="325532976"/>
      </c:lineChart>
      <c:catAx>
        <c:axId val="325532584"/>
        <c:scaling>
          <c:orientation val="minMax"/>
        </c:scaling>
        <c:delete val="0"/>
        <c:axPos val="b"/>
        <c:numFmt formatCode="yyyy/mm/dd" sourceLinked="0"/>
        <c:majorTickMark val="out"/>
        <c:minorTickMark val="none"/>
        <c:tickLblPos val="nextTo"/>
        <c:crossAx val="325532976"/>
        <c:crosses val="autoZero"/>
        <c:auto val="0"/>
        <c:lblAlgn val="ctr"/>
        <c:lblOffset val="100"/>
        <c:noMultiLvlLbl val="0"/>
      </c:catAx>
      <c:valAx>
        <c:axId val="325532976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5532584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5</xdr:row>
      <xdr:rowOff>31751</xdr:rowOff>
    </xdr:from>
    <xdr:to>
      <xdr:col>19</xdr:col>
      <xdr:colOff>468000</xdr:colOff>
      <xdr:row>5</xdr:row>
      <xdr:rowOff>175751</xdr:rowOff>
    </xdr:to>
    <xdr:sp macro="" textlink="">
      <xdr:nvSpPr>
        <xdr:cNvPr id="2" name="직사각형 1"/>
        <xdr:cNvSpPr/>
      </xdr:nvSpPr>
      <xdr:spPr>
        <a:xfrm>
          <a:off x="2497667" y="1037168"/>
          <a:ext cx="46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900"/>
            <a:t>70%</a:t>
          </a:r>
          <a:endParaRPr lang="ko-KR" altLang="en-US" sz="900"/>
        </a:p>
      </xdr:txBody>
    </xdr:sp>
    <xdr:clientData/>
  </xdr:twoCellAnchor>
  <xdr:twoCellAnchor>
    <xdr:from>
      <xdr:col>19</xdr:col>
      <xdr:colOff>0</xdr:colOff>
      <xdr:row>6</xdr:row>
      <xdr:rowOff>31752</xdr:rowOff>
    </xdr:from>
    <xdr:to>
      <xdr:col>19</xdr:col>
      <xdr:colOff>288000</xdr:colOff>
      <xdr:row>6</xdr:row>
      <xdr:rowOff>175752</xdr:rowOff>
    </xdr:to>
    <xdr:sp macro="" textlink="">
      <xdr:nvSpPr>
        <xdr:cNvPr id="4" name="직사각형 3"/>
        <xdr:cNvSpPr/>
      </xdr:nvSpPr>
      <xdr:spPr>
        <a:xfrm>
          <a:off x="2497667" y="1248835"/>
          <a:ext cx="28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7</xdr:row>
      <xdr:rowOff>31751</xdr:rowOff>
    </xdr:from>
    <xdr:to>
      <xdr:col>19</xdr:col>
      <xdr:colOff>612000</xdr:colOff>
      <xdr:row>7</xdr:row>
      <xdr:rowOff>175751</xdr:rowOff>
    </xdr:to>
    <xdr:sp macro="" textlink="">
      <xdr:nvSpPr>
        <xdr:cNvPr id="5" name="직사각형 4"/>
        <xdr:cNvSpPr/>
      </xdr:nvSpPr>
      <xdr:spPr>
        <a:xfrm>
          <a:off x="2497667" y="146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8</xdr:row>
      <xdr:rowOff>31751</xdr:rowOff>
    </xdr:from>
    <xdr:to>
      <xdr:col>19</xdr:col>
      <xdr:colOff>432000</xdr:colOff>
      <xdr:row>8</xdr:row>
      <xdr:rowOff>175751</xdr:rowOff>
    </xdr:to>
    <xdr:sp macro="" textlink="">
      <xdr:nvSpPr>
        <xdr:cNvPr id="6" name="직사각형 5"/>
        <xdr:cNvSpPr/>
      </xdr:nvSpPr>
      <xdr:spPr>
        <a:xfrm>
          <a:off x="2497667" y="1672168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9</xdr:row>
      <xdr:rowOff>21169</xdr:rowOff>
    </xdr:from>
    <xdr:to>
      <xdr:col>19</xdr:col>
      <xdr:colOff>504000</xdr:colOff>
      <xdr:row>9</xdr:row>
      <xdr:rowOff>165169</xdr:rowOff>
    </xdr:to>
    <xdr:sp macro="" textlink="">
      <xdr:nvSpPr>
        <xdr:cNvPr id="7" name="직사각형 6"/>
        <xdr:cNvSpPr/>
      </xdr:nvSpPr>
      <xdr:spPr>
        <a:xfrm>
          <a:off x="2497667" y="187325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10</xdr:row>
      <xdr:rowOff>21169</xdr:rowOff>
    </xdr:from>
    <xdr:to>
      <xdr:col>19</xdr:col>
      <xdr:colOff>612000</xdr:colOff>
      <xdr:row>10</xdr:row>
      <xdr:rowOff>165169</xdr:rowOff>
    </xdr:to>
    <xdr:sp macro="" textlink="">
      <xdr:nvSpPr>
        <xdr:cNvPr id="8" name="직사각형 7"/>
        <xdr:cNvSpPr/>
      </xdr:nvSpPr>
      <xdr:spPr>
        <a:xfrm>
          <a:off x="2497667" y="208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11</xdr:row>
      <xdr:rowOff>21168</xdr:rowOff>
    </xdr:from>
    <xdr:to>
      <xdr:col>19</xdr:col>
      <xdr:colOff>576000</xdr:colOff>
      <xdr:row>11</xdr:row>
      <xdr:rowOff>165168</xdr:rowOff>
    </xdr:to>
    <xdr:sp macro="" textlink="">
      <xdr:nvSpPr>
        <xdr:cNvPr id="9" name="직사각형 8"/>
        <xdr:cNvSpPr/>
      </xdr:nvSpPr>
      <xdr:spPr>
        <a:xfrm>
          <a:off x="2497667" y="2296585"/>
          <a:ext cx="57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12</xdr:row>
      <xdr:rowOff>21169</xdr:rowOff>
    </xdr:from>
    <xdr:to>
      <xdr:col>19</xdr:col>
      <xdr:colOff>648000</xdr:colOff>
      <xdr:row>12</xdr:row>
      <xdr:rowOff>165169</xdr:rowOff>
    </xdr:to>
    <xdr:sp macro="" textlink="">
      <xdr:nvSpPr>
        <xdr:cNvPr id="10" name="직사각형 9"/>
        <xdr:cNvSpPr/>
      </xdr:nvSpPr>
      <xdr:spPr>
        <a:xfrm>
          <a:off x="2497667" y="2508252"/>
          <a:ext cx="64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13</xdr:row>
      <xdr:rowOff>31752</xdr:rowOff>
    </xdr:from>
    <xdr:to>
      <xdr:col>19</xdr:col>
      <xdr:colOff>504000</xdr:colOff>
      <xdr:row>13</xdr:row>
      <xdr:rowOff>175752</xdr:rowOff>
    </xdr:to>
    <xdr:sp macro="" textlink="">
      <xdr:nvSpPr>
        <xdr:cNvPr id="11" name="직사각형 10"/>
        <xdr:cNvSpPr/>
      </xdr:nvSpPr>
      <xdr:spPr>
        <a:xfrm>
          <a:off x="2497667" y="273050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14</xdr:row>
      <xdr:rowOff>31752</xdr:rowOff>
    </xdr:from>
    <xdr:to>
      <xdr:col>19</xdr:col>
      <xdr:colOff>396000</xdr:colOff>
      <xdr:row>14</xdr:row>
      <xdr:rowOff>175752</xdr:rowOff>
    </xdr:to>
    <xdr:sp macro="" textlink="">
      <xdr:nvSpPr>
        <xdr:cNvPr id="12" name="직사각형 11"/>
        <xdr:cNvSpPr/>
      </xdr:nvSpPr>
      <xdr:spPr>
        <a:xfrm>
          <a:off x="2497667" y="2942169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15</xdr:row>
      <xdr:rowOff>31752</xdr:rowOff>
    </xdr:from>
    <xdr:to>
      <xdr:col>19</xdr:col>
      <xdr:colOff>504000</xdr:colOff>
      <xdr:row>15</xdr:row>
      <xdr:rowOff>175752</xdr:rowOff>
    </xdr:to>
    <xdr:sp macro="" textlink="">
      <xdr:nvSpPr>
        <xdr:cNvPr id="13" name="직사각형 12"/>
        <xdr:cNvSpPr/>
      </xdr:nvSpPr>
      <xdr:spPr>
        <a:xfrm>
          <a:off x="2497667" y="3153835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16</xdr:row>
      <xdr:rowOff>31752</xdr:rowOff>
    </xdr:from>
    <xdr:to>
      <xdr:col>19</xdr:col>
      <xdr:colOff>612000</xdr:colOff>
      <xdr:row>16</xdr:row>
      <xdr:rowOff>175752</xdr:rowOff>
    </xdr:to>
    <xdr:sp macro="" textlink="">
      <xdr:nvSpPr>
        <xdr:cNvPr id="14" name="직사각형 13"/>
        <xdr:cNvSpPr/>
      </xdr:nvSpPr>
      <xdr:spPr>
        <a:xfrm>
          <a:off x="2497667" y="336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17</xdr:row>
      <xdr:rowOff>31751</xdr:rowOff>
    </xdr:from>
    <xdr:to>
      <xdr:col>19</xdr:col>
      <xdr:colOff>612000</xdr:colOff>
      <xdr:row>17</xdr:row>
      <xdr:rowOff>175751</xdr:rowOff>
    </xdr:to>
    <xdr:sp macro="" textlink="">
      <xdr:nvSpPr>
        <xdr:cNvPr id="15" name="직사각형 14"/>
        <xdr:cNvSpPr/>
      </xdr:nvSpPr>
      <xdr:spPr>
        <a:xfrm>
          <a:off x="2497667" y="3577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18</xdr:row>
      <xdr:rowOff>31752</xdr:rowOff>
    </xdr:from>
    <xdr:to>
      <xdr:col>19</xdr:col>
      <xdr:colOff>612000</xdr:colOff>
      <xdr:row>18</xdr:row>
      <xdr:rowOff>175752</xdr:rowOff>
    </xdr:to>
    <xdr:sp macro="" textlink="">
      <xdr:nvSpPr>
        <xdr:cNvPr id="16" name="직사각형 15"/>
        <xdr:cNvSpPr/>
      </xdr:nvSpPr>
      <xdr:spPr>
        <a:xfrm>
          <a:off x="2497667" y="378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19</xdr:row>
      <xdr:rowOff>31751</xdr:rowOff>
    </xdr:from>
    <xdr:to>
      <xdr:col>19</xdr:col>
      <xdr:colOff>612000</xdr:colOff>
      <xdr:row>19</xdr:row>
      <xdr:rowOff>175751</xdr:rowOff>
    </xdr:to>
    <xdr:sp macro="" textlink="">
      <xdr:nvSpPr>
        <xdr:cNvPr id="17" name="직사각형 16"/>
        <xdr:cNvSpPr/>
      </xdr:nvSpPr>
      <xdr:spPr>
        <a:xfrm>
          <a:off x="2497667" y="400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20</xdr:row>
      <xdr:rowOff>31751</xdr:rowOff>
    </xdr:from>
    <xdr:to>
      <xdr:col>19</xdr:col>
      <xdr:colOff>612000</xdr:colOff>
      <xdr:row>20</xdr:row>
      <xdr:rowOff>175751</xdr:rowOff>
    </xdr:to>
    <xdr:sp macro="" textlink="">
      <xdr:nvSpPr>
        <xdr:cNvPr id="18" name="직사각형 17"/>
        <xdr:cNvSpPr/>
      </xdr:nvSpPr>
      <xdr:spPr>
        <a:xfrm>
          <a:off x="2497667" y="4212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21</xdr:row>
      <xdr:rowOff>21169</xdr:rowOff>
    </xdr:from>
    <xdr:to>
      <xdr:col>19</xdr:col>
      <xdr:colOff>612000</xdr:colOff>
      <xdr:row>21</xdr:row>
      <xdr:rowOff>165169</xdr:rowOff>
    </xdr:to>
    <xdr:sp macro="" textlink="">
      <xdr:nvSpPr>
        <xdr:cNvPr id="19" name="직사각형 18"/>
        <xdr:cNvSpPr/>
      </xdr:nvSpPr>
      <xdr:spPr>
        <a:xfrm>
          <a:off x="2497667" y="4413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22</xdr:row>
      <xdr:rowOff>21169</xdr:rowOff>
    </xdr:from>
    <xdr:to>
      <xdr:col>19</xdr:col>
      <xdr:colOff>612000</xdr:colOff>
      <xdr:row>22</xdr:row>
      <xdr:rowOff>165169</xdr:rowOff>
    </xdr:to>
    <xdr:sp macro="" textlink="">
      <xdr:nvSpPr>
        <xdr:cNvPr id="20" name="직사각형 19"/>
        <xdr:cNvSpPr/>
      </xdr:nvSpPr>
      <xdr:spPr>
        <a:xfrm>
          <a:off x="2497667" y="462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23</xdr:row>
      <xdr:rowOff>21168</xdr:rowOff>
    </xdr:from>
    <xdr:to>
      <xdr:col>19</xdr:col>
      <xdr:colOff>612000</xdr:colOff>
      <xdr:row>23</xdr:row>
      <xdr:rowOff>165168</xdr:rowOff>
    </xdr:to>
    <xdr:sp macro="" textlink="">
      <xdr:nvSpPr>
        <xdr:cNvPr id="21" name="직사각형 20"/>
        <xdr:cNvSpPr/>
      </xdr:nvSpPr>
      <xdr:spPr>
        <a:xfrm>
          <a:off x="2497667" y="483658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25</xdr:row>
      <xdr:rowOff>31752</xdr:rowOff>
    </xdr:from>
    <xdr:to>
      <xdr:col>19</xdr:col>
      <xdr:colOff>612000</xdr:colOff>
      <xdr:row>25</xdr:row>
      <xdr:rowOff>175752</xdr:rowOff>
    </xdr:to>
    <xdr:sp macro="" textlink="">
      <xdr:nvSpPr>
        <xdr:cNvPr id="22" name="직사각형 21"/>
        <xdr:cNvSpPr/>
      </xdr:nvSpPr>
      <xdr:spPr>
        <a:xfrm>
          <a:off x="2497667" y="527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26</xdr:row>
      <xdr:rowOff>31752</xdr:rowOff>
    </xdr:from>
    <xdr:to>
      <xdr:col>19</xdr:col>
      <xdr:colOff>612000</xdr:colOff>
      <xdr:row>26</xdr:row>
      <xdr:rowOff>175752</xdr:rowOff>
    </xdr:to>
    <xdr:sp macro="" textlink="">
      <xdr:nvSpPr>
        <xdr:cNvPr id="23" name="직사각형 22"/>
        <xdr:cNvSpPr/>
      </xdr:nvSpPr>
      <xdr:spPr>
        <a:xfrm>
          <a:off x="2497667" y="548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27</xdr:row>
      <xdr:rowOff>31752</xdr:rowOff>
    </xdr:from>
    <xdr:to>
      <xdr:col>19</xdr:col>
      <xdr:colOff>612000</xdr:colOff>
      <xdr:row>27</xdr:row>
      <xdr:rowOff>175752</xdr:rowOff>
    </xdr:to>
    <xdr:sp macro="" textlink="">
      <xdr:nvSpPr>
        <xdr:cNvPr id="24" name="직사각형 23"/>
        <xdr:cNvSpPr/>
      </xdr:nvSpPr>
      <xdr:spPr>
        <a:xfrm>
          <a:off x="2497667" y="5693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28</xdr:row>
      <xdr:rowOff>31752</xdr:rowOff>
    </xdr:from>
    <xdr:to>
      <xdr:col>19</xdr:col>
      <xdr:colOff>612000</xdr:colOff>
      <xdr:row>28</xdr:row>
      <xdr:rowOff>175752</xdr:rowOff>
    </xdr:to>
    <xdr:sp macro="" textlink="">
      <xdr:nvSpPr>
        <xdr:cNvPr id="25" name="직사각형 24"/>
        <xdr:cNvSpPr/>
      </xdr:nvSpPr>
      <xdr:spPr>
        <a:xfrm>
          <a:off x="2497667" y="590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24</xdr:row>
      <xdr:rowOff>31752</xdr:rowOff>
    </xdr:from>
    <xdr:to>
      <xdr:col>19</xdr:col>
      <xdr:colOff>612000</xdr:colOff>
      <xdr:row>24</xdr:row>
      <xdr:rowOff>175752</xdr:rowOff>
    </xdr:to>
    <xdr:sp macro="" textlink="">
      <xdr:nvSpPr>
        <xdr:cNvPr id="26" name="직사각형 25"/>
        <xdr:cNvSpPr/>
      </xdr:nvSpPr>
      <xdr:spPr>
        <a:xfrm>
          <a:off x="2497667" y="505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29</xdr:row>
      <xdr:rowOff>31752</xdr:rowOff>
    </xdr:from>
    <xdr:to>
      <xdr:col>19</xdr:col>
      <xdr:colOff>612000</xdr:colOff>
      <xdr:row>29</xdr:row>
      <xdr:rowOff>175752</xdr:rowOff>
    </xdr:to>
    <xdr:sp macro="" textlink="">
      <xdr:nvSpPr>
        <xdr:cNvPr id="27" name="직사각형 26"/>
        <xdr:cNvSpPr/>
      </xdr:nvSpPr>
      <xdr:spPr>
        <a:xfrm>
          <a:off x="2497667" y="6117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30</xdr:row>
      <xdr:rowOff>31752</xdr:rowOff>
    </xdr:from>
    <xdr:to>
      <xdr:col>19</xdr:col>
      <xdr:colOff>612000</xdr:colOff>
      <xdr:row>30</xdr:row>
      <xdr:rowOff>175752</xdr:rowOff>
    </xdr:to>
    <xdr:sp macro="" textlink="">
      <xdr:nvSpPr>
        <xdr:cNvPr id="28" name="직사각형 27"/>
        <xdr:cNvSpPr/>
      </xdr:nvSpPr>
      <xdr:spPr>
        <a:xfrm>
          <a:off x="2497667" y="632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31</xdr:row>
      <xdr:rowOff>31752</xdr:rowOff>
    </xdr:from>
    <xdr:to>
      <xdr:col>19</xdr:col>
      <xdr:colOff>612000</xdr:colOff>
      <xdr:row>31</xdr:row>
      <xdr:rowOff>175752</xdr:rowOff>
    </xdr:to>
    <xdr:sp macro="" textlink="">
      <xdr:nvSpPr>
        <xdr:cNvPr id="29" name="직사각형 28"/>
        <xdr:cNvSpPr/>
      </xdr:nvSpPr>
      <xdr:spPr>
        <a:xfrm>
          <a:off x="2497667" y="654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32</xdr:row>
      <xdr:rowOff>31752</xdr:rowOff>
    </xdr:from>
    <xdr:to>
      <xdr:col>19</xdr:col>
      <xdr:colOff>612000</xdr:colOff>
      <xdr:row>32</xdr:row>
      <xdr:rowOff>175752</xdr:rowOff>
    </xdr:to>
    <xdr:sp macro="" textlink="">
      <xdr:nvSpPr>
        <xdr:cNvPr id="30" name="직사각형 29"/>
        <xdr:cNvSpPr/>
      </xdr:nvSpPr>
      <xdr:spPr>
        <a:xfrm>
          <a:off x="2497667" y="675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5</xdr:row>
      <xdr:rowOff>31751</xdr:rowOff>
    </xdr:from>
    <xdr:to>
      <xdr:col>24</xdr:col>
      <xdr:colOff>622584</xdr:colOff>
      <xdr:row>5</xdr:row>
      <xdr:rowOff>175751</xdr:rowOff>
    </xdr:to>
    <xdr:sp macro="" textlink="">
      <xdr:nvSpPr>
        <xdr:cNvPr id="31" name="직사각형 30"/>
        <xdr:cNvSpPr/>
      </xdr:nvSpPr>
      <xdr:spPr>
        <a:xfrm>
          <a:off x="3926417" y="1037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r>
            <a:rPr lang="en-US" altLang="ko-KR" sz="900">
              <a:solidFill>
                <a:schemeClr val="lt1"/>
              </a:solidFill>
              <a:latin typeface="+mn-lt"/>
              <a:ea typeface="+mn-ea"/>
              <a:cs typeface="+mn-cs"/>
            </a:rPr>
            <a:t>80%</a:t>
          </a:r>
          <a:endParaRPr lang="ko-KR" altLang="en-US" sz="9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10584</xdr:colOff>
      <xdr:row>6</xdr:row>
      <xdr:rowOff>31752</xdr:rowOff>
    </xdr:from>
    <xdr:to>
      <xdr:col>24</xdr:col>
      <xdr:colOff>514584</xdr:colOff>
      <xdr:row>6</xdr:row>
      <xdr:rowOff>175752</xdr:rowOff>
    </xdr:to>
    <xdr:sp macro="" textlink="">
      <xdr:nvSpPr>
        <xdr:cNvPr id="32" name="직사각형 31"/>
        <xdr:cNvSpPr/>
      </xdr:nvSpPr>
      <xdr:spPr>
        <a:xfrm>
          <a:off x="3926417" y="1248835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7</xdr:row>
      <xdr:rowOff>31751</xdr:rowOff>
    </xdr:from>
    <xdr:to>
      <xdr:col>26</xdr:col>
      <xdr:colOff>15167</xdr:colOff>
      <xdr:row>7</xdr:row>
      <xdr:rowOff>175751</xdr:rowOff>
    </xdr:to>
    <xdr:sp macro="" textlink="">
      <xdr:nvSpPr>
        <xdr:cNvPr id="33" name="직사각형 32"/>
        <xdr:cNvSpPr/>
      </xdr:nvSpPr>
      <xdr:spPr>
        <a:xfrm>
          <a:off x="3926417" y="1460501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8</xdr:row>
      <xdr:rowOff>31751</xdr:rowOff>
    </xdr:from>
    <xdr:to>
      <xdr:col>26</xdr:col>
      <xdr:colOff>15167</xdr:colOff>
      <xdr:row>8</xdr:row>
      <xdr:rowOff>175751</xdr:rowOff>
    </xdr:to>
    <xdr:sp macro="" textlink="">
      <xdr:nvSpPr>
        <xdr:cNvPr id="34" name="직사각형 33"/>
        <xdr:cNvSpPr/>
      </xdr:nvSpPr>
      <xdr:spPr>
        <a:xfrm>
          <a:off x="3926417" y="1672168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9</xdr:row>
      <xdr:rowOff>21169</xdr:rowOff>
    </xdr:from>
    <xdr:to>
      <xdr:col>26</xdr:col>
      <xdr:colOff>15167</xdr:colOff>
      <xdr:row>9</xdr:row>
      <xdr:rowOff>165169</xdr:rowOff>
    </xdr:to>
    <xdr:sp macro="" textlink="">
      <xdr:nvSpPr>
        <xdr:cNvPr id="35" name="직사각형 34"/>
        <xdr:cNvSpPr/>
      </xdr:nvSpPr>
      <xdr:spPr>
        <a:xfrm>
          <a:off x="3926417" y="1873252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10</xdr:row>
      <xdr:rowOff>21169</xdr:rowOff>
    </xdr:from>
    <xdr:to>
      <xdr:col>24</xdr:col>
      <xdr:colOff>622584</xdr:colOff>
      <xdr:row>10</xdr:row>
      <xdr:rowOff>165169</xdr:rowOff>
    </xdr:to>
    <xdr:sp macro="" textlink="">
      <xdr:nvSpPr>
        <xdr:cNvPr id="36" name="직사각형 35"/>
        <xdr:cNvSpPr/>
      </xdr:nvSpPr>
      <xdr:spPr>
        <a:xfrm>
          <a:off x="3926417" y="208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11</xdr:row>
      <xdr:rowOff>21168</xdr:rowOff>
    </xdr:from>
    <xdr:to>
      <xdr:col>24</xdr:col>
      <xdr:colOff>406584</xdr:colOff>
      <xdr:row>11</xdr:row>
      <xdr:rowOff>165168</xdr:rowOff>
    </xdr:to>
    <xdr:sp macro="" textlink="">
      <xdr:nvSpPr>
        <xdr:cNvPr id="37" name="직사각형 36"/>
        <xdr:cNvSpPr/>
      </xdr:nvSpPr>
      <xdr:spPr>
        <a:xfrm>
          <a:off x="3926417" y="2296585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12</xdr:row>
      <xdr:rowOff>21169</xdr:rowOff>
    </xdr:from>
    <xdr:to>
      <xdr:col>24</xdr:col>
      <xdr:colOff>622584</xdr:colOff>
      <xdr:row>12</xdr:row>
      <xdr:rowOff>165169</xdr:rowOff>
    </xdr:to>
    <xdr:sp macro="" textlink="">
      <xdr:nvSpPr>
        <xdr:cNvPr id="38" name="직사각형 37"/>
        <xdr:cNvSpPr/>
      </xdr:nvSpPr>
      <xdr:spPr>
        <a:xfrm>
          <a:off x="3926417" y="2508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13</xdr:row>
      <xdr:rowOff>31752</xdr:rowOff>
    </xdr:from>
    <xdr:to>
      <xdr:col>24</xdr:col>
      <xdr:colOff>514584</xdr:colOff>
      <xdr:row>13</xdr:row>
      <xdr:rowOff>175752</xdr:rowOff>
    </xdr:to>
    <xdr:sp macro="" textlink="">
      <xdr:nvSpPr>
        <xdr:cNvPr id="39" name="직사각형 38"/>
        <xdr:cNvSpPr/>
      </xdr:nvSpPr>
      <xdr:spPr>
        <a:xfrm>
          <a:off x="3926417" y="273050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14</xdr:row>
      <xdr:rowOff>31752</xdr:rowOff>
    </xdr:from>
    <xdr:to>
      <xdr:col>26</xdr:col>
      <xdr:colOff>15167</xdr:colOff>
      <xdr:row>14</xdr:row>
      <xdr:rowOff>175752</xdr:rowOff>
    </xdr:to>
    <xdr:sp macro="" textlink="">
      <xdr:nvSpPr>
        <xdr:cNvPr id="40" name="직사각형 39"/>
        <xdr:cNvSpPr/>
      </xdr:nvSpPr>
      <xdr:spPr>
        <a:xfrm>
          <a:off x="3926417" y="2942169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15</xdr:row>
      <xdr:rowOff>31752</xdr:rowOff>
    </xdr:from>
    <xdr:to>
      <xdr:col>24</xdr:col>
      <xdr:colOff>406584</xdr:colOff>
      <xdr:row>15</xdr:row>
      <xdr:rowOff>175752</xdr:rowOff>
    </xdr:to>
    <xdr:sp macro="" textlink="">
      <xdr:nvSpPr>
        <xdr:cNvPr id="41" name="직사각형 40"/>
        <xdr:cNvSpPr/>
      </xdr:nvSpPr>
      <xdr:spPr>
        <a:xfrm>
          <a:off x="3926417" y="3153835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16</xdr:row>
      <xdr:rowOff>31752</xdr:rowOff>
    </xdr:from>
    <xdr:to>
      <xdr:col>24</xdr:col>
      <xdr:colOff>622584</xdr:colOff>
      <xdr:row>16</xdr:row>
      <xdr:rowOff>175752</xdr:rowOff>
    </xdr:to>
    <xdr:sp macro="" textlink="">
      <xdr:nvSpPr>
        <xdr:cNvPr id="42" name="직사각형 41"/>
        <xdr:cNvSpPr/>
      </xdr:nvSpPr>
      <xdr:spPr>
        <a:xfrm>
          <a:off x="3926417" y="336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17</xdr:row>
      <xdr:rowOff>31751</xdr:rowOff>
    </xdr:from>
    <xdr:to>
      <xdr:col>24</xdr:col>
      <xdr:colOff>622584</xdr:colOff>
      <xdr:row>17</xdr:row>
      <xdr:rowOff>175751</xdr:rowOff>
    </xdr:to>
    <xdr:sp macro="" textlink="">
      <xdr:nvSpPr>
        <xdr:cNvPr id="43" name="직사각형 42"/>
        <xdr:cNvSpPr/>
      </xdr:nvSpPr>
      <xdr:spPr>
        <a:xfrm>
          <a:off x="3926417" y="3577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18</xdr:row>
      <xdr:rowOff>31752</xdr:rowOff>
    </xdr:from>
    <xdr:to>
      <xdr:col>24</xdr:col>
      <xdr:colOff>622584</xdr:colOff>
      <xdr:row>18</xdr:row>
      <xdr:rowOff>175752</xdr:rowOff>
    </xdr:to>
    <xdr:sp macro="" textlink="">
      <xdr:nvSpPr>
        <xdr:cNvPr id="44" name="직사각형 43"/>
        <xdr:cNvSpPr/>
      </xdr:nvSpPr>
      <xdr:spPr>
        <a:xfrm>
          <a:off x="3926417" y="378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19</xdr:row>
      <xdr:rowOff>31751</xdr:rowOff>
    </xdr:from>
    <xdr:to>
      <xdr:col>24</xdr:col>
      <xdr:colOff>622584</xdr:colOff>
      <xdr:row>19</xdr:row>
      <xdr:rowOff>175751</xdr:rowOff>
    </xdr:to>
    <xdr:sp macro="" textlink="">
      <xdr:nvSpPr>
        <xdr:cNvPr id="45" name="직사각형 44"/>
        <xdr:cNvSpPr/>
      </xdr:nvSpPr>
      <xdr:spPr>
        <a:xfrm>
          <a:off x="3926417" y="400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20</xdr:row>
      <xdr:rowOff>31751</xdr:rowOff>
    </xdr:from>
    <xdr:to>
      <xdr:col>24</xdr:col>
      <xdr:colOff>622584</xdr:colOff>
      <xdr:row>20</xdr:row>
      <xdr:rowOff>175751</xdr:rowOff>
    </xdr:to>
    <xdr:sp macro="" textlink="">
      <xdr:nvSpPr>
        <xdr:cNvPr id="46" name="직사각형 45"/>
        <xdr:cNvSpPr/>
      </xdr:nvSpPr>
      <xdr:spPr>
        <a:xfrm>
          <a:off x="3926417" y="4212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21</xdr:row>
      <xdr:rowOff>21169</xdr:rowOff>
    </xdr:from>
    <xdr:to>
      <xdr:col>24</xdr:col>
      <xdr:colOff>622584</xdr:colOff>
      <xdr:row>21</xdr:row>
      <xdr:rowOff>165169</xdr:rowOff>
    </xdr:to>
    <xdr:sp macro="" textlink="">
      <xdr:nvSpPr>
        <xdr:cNvPr id="47" name="직사각형 46"/>
        <xdr:cNvSpPr/>
      </xdr:nvSpPr>
      <xdr:spPr>
        <a:xfrm>
          <a:off x="3926417" y="4413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22</xdr:row>
      <xdr:rowOff>21169</xdr:rowOff>
    </xdr:from>
    <xdr:to>
      <xdr:col>24</xdr:col>
      <xdr:colOff>622584</xdr:colOff>
      <xdr:row>22</xdr:row>
      <xdr:rowOff>165169</xdr:rowOff>
    </xdr:to>
    <xdr:sp macro="" textlink="">
      <xdr:nvSpPr>
        <xdr:cNvPr id="48" name="직사각형 47"/>
        <xdr:cNvSpPr/>
      </xdr:nvSpPr>
      <xdr:spPr>
        <a:xfrm>
          <a:off x="3926417" y="462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23</xdr:row>
      <xdr:rowOff>21168</xdr:rowOff>
    </xdr:from>
    <xdr:to>
      <xdr:col>24</xdr:col>
      <xdr:colOff>622584</xdr:colOff>
      <xdr:row>23</xdr:row>
      <xdr:rowOff>165168</xdr:rowOff>
    </xdr:to>
    <xdr:sp macro="" textlink="">
      <xdr:nvSpPr>
        <xdr:cNvPr id="49" name="직사각형 48"/>
        <xdr:cNvSpPr/>
      </xdr:nvSpPr>
      <xdr:spPr>
        <a:xfrm>
          <a:off x="3926417" y="483658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25</xdr:row>
      <xdr:rowOff>31752</xdr:rowOff>
    </xdr:from>
    <xdr:to>
      <xdr:col>24</xdr:col>
      <xdr:colOff>622584</xdr:colOff>
      <xdr:row>25</xdr:row>
      <xdr:rowOff>175752</xdr:rowOff>
    </xdr:to>
    <xdr:sp macro="" textlink="">
      <xdr:nvSpPr>
        <xdr:cNvPr id="50" name="직사각형 49"/>
        <xdr:cNvSpPr/>
      </xdr:nvSpPr>
      <xdr:spPr>
        <a:xfrm>
          <a:off x="3926417" y="527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26</xdr:row>
      <xdr:rowOff>31752</xdr:rowOff>
    </xdr:from>
    <xdr:to>
      <xdr:col>24</xdr:col>
      <xdr:colOff>622584</xdr:colOff>
      <xdr:row>26</xdr:row>
      <xdr:rowOff>175752</xdr:rowOff>
    </xdr:to>
    <xdr:sp macro="" textlink="">
      <xdr:nvSpPr>
        <xdr:cNvPr id="51" name="직사각형 50"/>
        <xdr:cNvSpPr/>
      </xdr:nvSpPr>
      <xdr:spPr>
        <a:xfrm>
          <a:off x="3926417" y="548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27</xdr:row>
      <xdr:rowOff>31752</xdr:rowOff>
    </xdr:from>
    <xdr:to>
      <xdr:col>24</xdr:col>
      <xdr:colOff>622584</xdr:colOff>
      <xdr:row>27</xdr:row>
      <xdr:rowOff>175752</xdr:rowOff>
    </xdr:to>
    <xdr:sp macro="" textlink="">
      <xdr:nvSpPr>
        <xdr:cNvPr id="52" name="직사각형 51"/>
        <xdr:cNvSpPr/>
      </xdr:nvSpPr>
      <xdr:spPr>
        <a:xfrm>
          <a:off x="3926417" y="5693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28</xdr:row>
      <xdr:rowOff>31752</xdr:rowOff>
    </xdr:from>
    <xdr:to>
      <xdr:col>24</xdr:col>
      <xdr:colOff>622584</xdr:colOff>
      <xdr:row>28</xdr:row>
      <xdr:rowOff>175752</xdr:rowOff>
    </xdr:to>
    <xdr:sp macro="" textlink="">
      <xdr:nvSpPr>
        <xdr:cNvPr id="53" name="직사각형 52"/>
        <xdr:cNvSpPr/>
      </xdr:nvSpPr>
      <xdr:spPr>
        <a:xfrm>
          <a:off x="3926417" y="590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24</xdr:row>
      <xdr:rowOff>31752</xdr:rowOff>
    </xdr:from>
    <xdr:to>
      <xdr:col>24</xdr:col>
      <xdr:colOff>622584</xdr:colOff>
      <xdr:row>24</xdr:row>
      <xdr:rowOff>175752</xdr:rowOff>
    </xdr:to>
    <xdr:sp macro="" textlink="">
      <xdr:nvSpPr>
        <xdr:cNvPr id="54" name="직사각형 53"/>
        <xdr:cNvSpPr/>
      </xdr:nvSpPr>
      <xdr:spPr>
        <a:xfrm>
          <a:off x="3926417" y="505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29</xdr:row>
      <xdr:rowOff>31752</xdr:rowOff>
    </xdr:from>
    <xdr:to>
      <xdr:col>24</xdr:col>
      <xdr:colOff>622584</xdr:colOff>
      <xdr:row>29</xdr:row>
      <xdr:rowOff>175752</xdr:rowOff>
    </xdr:to>
    <xdr:sp macro="" textlink="">
      <xdr:nvSpPr>
        <xdr:cNvPr id="55" name="직사각형 54"/>
        <xdr:cNvSpPr/>
      </xdr:nvSpPr>
      <xdr:spPr>
        <a:xfrm>
          <a:off x="3926417" y="6117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30</xdr:row>
      <xdr:rowOff>31752</xdr:rowOff>
    </xdr:from>
    <xdr:to>
      <xdr:col>24</xdr:col>
      <xdr:colOff>622584</xdr:colOff>
      <xdr:row>30</xdr:row>
      <xdr:rowOff>175752</xdr:rowOff>
    </xdr:to>
    <xdr:sp macro="" textlink="">
      <xdr:nvSpPr>
        <xdr:cNvPr id="56" name="직사각형 55"/>
        <xdr:cNvSpPr/>
      </xdr:nvSpPr>
      <xdr:spPr>
        <a:xfrm>
          <a:off x="3926417" y="632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31</xdr:row>
      <xdr:rowOff>31752</xdr:rowOff>
    </xdr:from>
    <xdr:to>
      <xdr:col>24</xdr:col>
      <xdr:colOff>622584</xdr:colOff>
      <xdr:row>31</xdr:row>
      <xdr:rowOff>175752</xdr:rowOff>
    </xdr:to>
    <xdr:sp macro="" textlink="">
      <xdr:nvSpPr>
        <xdr:cNvPr id="57" name="직사각형 56"/>
        <xdr:cNvSpPr/>
      </xdr:nvSpPr>
      <xdr:spPr>
        <a:xfrm>
          <a:off x="3926417" y="654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32</xdr:row>
      <xdr:rowOff>31752</xdr:rowOff>
    </xdr:from>
    <xdr:to>
      <xdr:col>24</xdr:col>
      <xdr:colOff>622584</xdr:colOff>
      <xdr:row>32</xdr:row>
      <xdr:rowOff>175752</xdr:rowOff>
    </xdr:to>
    <xdr:sp macro="" textlink="">
      <xdr:nvSpPr>
        <xdr:cNvPr id="58" name="직사각형 57"/>
        <xdr:cNvSpPr/>
      </xdr:nvSpPr>
      <xdr:spPr>
        <a:xfrm>
          <a:off x="3926417" y="675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5</xdr:row>
      <xdr:rowOff>31751</xdr:rowOff>
    </xdr:from>
    <xdr:to>
      <xdr:col>31</xdr:col>
      <xdr:colOff>406583</xdr:colOff>
      <xdr:row>5</xdr:row>
      <xdr:rowOff>175751</xdr:rowOff>
    </xdr:to>
    <xdr:sp macro="" textlink="">
      <xdr:nvSpPr>
        <xdr:cNvPr id="59" name="직사각형 58"/>
        <xdr:cNvSpPr/>
      </xdr:nvSpPr>
      <xdr:spPr>
        <a:xfrm>
          <a:off x="5344583" y="1037168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r>
            <a:rPr lang="en-US" altLang="ko-KR" sz="900">
              <a:solidFill>
                <a:schemeClr val="lt1"/>
              </a:solidFill>
              <a:latin typeface="+mn-lt"/>
              <a:ea typeface="+mn-ea"/>
              <a:cs typeface="+mn-cs"/>
            </a:rPr>
            <a:t>60%</a:t>
          </a:r>
          <a:endParaRPr lang="ko-KR" altLang="en-US" sz="9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10583</xdr:colOff>
      <xdr:row>6</xdr:row>
      <xdr:rowOff>31752</xdr:rowOff>
    </xdr:from>
    <xdr:to>
      <xdr:col>31</xdr:col>
      <xdr:colOff>478583</xdr:colOff>
      <xdr:row>6</xdr:row>
      <xdr:rowOff>175752</xdr:rowOff>
    </xdr:to>
    <xdr:sp macro="" textlink="">
      <xdr:nvSpPr>
        <xdr:cNvPr id="60" name="직사각형 59"/>
        <xdr:cNvSpPr/>
      </xdr:nvSpPr>
      <xdr:spPr>
        <a:xfrm>
          <a:off x="5344583" y="1248835"/>
          <a:ext cx="46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7</xdr:row>
      <xdr:rowOff>31751</xdr:rowOff>
    </xdr:from>
    <xdr:to>
      <xdr:col>31</xdr:col>
      <xdr:colOff>550583</xdr:colOff>
      <xdr:row>7</xdr:row>
      <xdr:rowOff>175751</xdr:rowOff>
    </xdr:to>
    <xdr:sp macro="" textlink="">
      <xdr:nvSpPr>
        <xdr:cNvPr id="61" name="직사각형 60"/>
        <xdr:cNvSpPr/>
      </xdr:nvSpPr>
      <xdr:spPr>
        <a:xfrm>
          <a:off x="5344583" y="1460501"/>
          <a:ext cx="54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8</xdr:row>
      <xdr:rowOff>31751</xdr:rowOff>
    </xdr:from>
    <xdr:to>
      <xdr:col>31</xdr:col>
      <xdr:colOff>442583</xdr:colOff>
      <xdr:row>8</xdr:row>
      <xdr:rowOff>175751</xdr:rowOff>
    </xdr:to>
    <xdr:sp macro="" textlink="">
      <xdr:nvSpPr>
        <xdr:cNvPr id="62" name="직사각형 61"/>
        <xdr:cNvSpPr/>
      </xdr:nvSpPr>
      <xdr:spPr>
        <a:xfrm>
          <a:off x="5344583" y="1672168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9</xdr:row>
      <xdr:rowOff>21169</xdr:rowOff>
    </xdr:from>
    <xdr:to>
      <xdr:col>31</xdr:col>
      <xdr:colOff>442583</xdr:colOff>
      <xdr:row>9</xdr:row>
      <xdr:rowOff>165169</xdr:rowOff>
    </xdr:to>
    <xdr:sp macro="" textlink="">
      <xdr:nvSpPr>
        <xdr:cNvPr id="63" name="직사각형 62"/>
        <xdr:cNvSpPr/>
      </xdr:nvSpPr>
      <xdr:spPr>
        <a:xfrm>
          <a:off x="5344583" y="1873252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10</xdr:row>
      <xdr:rowOff>21169</xdr:rowOff>
    </xdr:from>
    <xdr:to>
      <xdr:col>31</xdr:col>
      <xdr:colOff>442583</xdr:colOff>
      <xdr:row>10</xdr:row>
      <xdr:rowOff>165169</xdr:rowOff>
    </xdr:to>
    <xdr:sp macro="" textlink="">
      <xdr:nvSpPr>
        <xdr:cNvPr id="64" name="직사각형 63"/>
        <xdr:cNvSpPr/>
      </xdr:nvSpPr>
      <xdr:spPr>
        <a:xfrm>
          <a:off x="5344583" y="2084919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11</xdr:row>
      <xdr:rowOff>21168</xdr:rowOff>
    </xdr:from>
    <xdr:to>
      <xdr:col>32</xdr:col>
      <xdr:colOff>15166</xdr:colOff>
      <xdr:row>11</xdr:row>
      <xdr:rowOff>165168</xdr:rowOff>
    </xdr:to>
    <xdr:sp macro="" textlink="">
      <xdr:nvSpPr>
        <xdr:cNvPr id="65" name="직사각형 64"/>
        <xdr:cNvSpPr/>
      </xdr:nvSpPr>
      <xdr:spPr>
        <a:xfrm>
          <a:off x="5344583" y="2296585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12</xdr:row>
      <xdr:rowOff>21169</xdr:rowOff>
    </xdr:from>
    <xdr:to>
      <xdr:col>31</xdr:col>
      <xdr:colOff>694583</xdr:colOff>
      <xdr:row>12</xdr:row>
      <xdr:rowOff>165169</xdr:rowOff>
    </xdr:to>
    <xdr:sp macro="" textlink="">
      <xdr:nvSpPr>
        <xdr:cNvPr id="66" name="직사각형 65"/>
        <xdr:cNvSpPr/>
      </xdr:nvSpPr>
      <xdr:spPr>
        <a:xfrm>
          <a:off x="5344583" y="2508252"/>
          <a:ext cx="68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13</xdr:row>
      <xdr:rowOff>31752</xdr:rowOff>
    </xdr:from>
    <xdr:to>
      <xdr:col>32</xdr:col>
      <xdr:colOff>15166</xdr:colOff>
      <xdr:row>13</xdr:row>
      <xdr:rowOff>175752</xdr:rowOff>
    </xdr:to>
    <xdr:sp macro="" textlink="">
      <xdr:nvSpPr>
        <xdr:cNvPr id="67" name="직사각형 66"/>
        <xdr:cNvSpPr/>
      </xdr:nvSpPr>
      <xdr:spPr>
        <a:xfrm>
          <a:off x="5344583" y="2730502"/>
          <a:ext cx="75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14</xdr:row>
      <xdr:rowOff>31752</xdr:rowOff>
    </xdr:from>
    <xdr:to>
      <xdr:col>31</xdr:col>
      <xdr:colOff>514583</xdr:colOff>
      <xdr:row>14</xdr:row>
      <xdr:rowOff>175752</xdr:rowOff>
    </xdr:to>
    <xdr:sp macro="" textlink="">
      <xdr:nvSpPr>
        <xdr:cNvPr id="68" name="직사각형 67"/>
        <xdr:cNvSpPr/>
      </xdr:nvSpPr>
      <xdr:spPr>
        <a:xfrm>
          <a:off x="5344583" y="2942169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15</xdr:row>
      <xdr:rowOff>31752</xdr:rowOff>
    </xdr:from>
    <xdr:to>
      <xdr:col>31</xdr:col>
      <xdr:colOff>622583</xdr:colOff>
      <xdr:row>15</xdr:row>
      <xdr:rowOff>175752</xdr:rowOff>
    </xdr:to>
    <xdr:sp macro="" textlink="">
      <xdr:nvSpPr>
        <xdr:cNvPr id="69" name="직사각형 68"/>
        <xdr:cNvSpPr/>
      </xdr:nvSpPr>
      <xdr:spPr>
        <a:xfrm>
          <a:off x="5344583" y="3153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16</xdr:row>
      <xdr:rowOff>31752</xdr:rowOff>
    </xdr:from>
    <xdr:to>
      <xdr:col>31</xdr:col>
      <xdr:colOff>622583</xdr:colOff>
      <xdr:row>16</xdr:row>
      <xdr:rowOff>175752</xdr:rowOff>
    </xdr:to>
    <xdr:sp macro="" textlink="">
      <xdr:nvSpPr>
        <xdr:cNvPr id="70" name="직사각형 69"/>
        <xdr:cNvSpPr/>
      </xdr:nvSpPr>
      <xdr:spPr>
        <a:xfrm>
          <a:off x="5344583" y="336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17</xdr:row>
      <xdr:rowOff>31751</xdr:rowOff>
    </xdr:from>
    <xdr:to>
      <xdr:col>31</xdr:col>
      <xdr:colOff>622583</xdr:colOff>
      <xdr:row>17</xdr:row>
      <xdr:rowOff>175751</xdr:rowOff>
    </xdr:to>
    <xdr:sp macro="" textlink="">
      <xdr:nvSpPr>
        <xdr:cNvPr id="71" name="직사각형 70"/>
        <xdr:cNvSpPr/>
      </xdr:nvSpPr>
      <xdr:spPr>
        <a:xfrm>
          <a:off x="5344583" y="3577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18</xdr:row>
      <xdr:rowOff>31752</xdr:rowOff>
    </xdr:from>
    <xdr:to>
      <xdr:col>31</xdr:col>
      <xdr:colOff>622583</xdr:colOff>
      <xdr:row>18</xdr:row>
      <xdr:rowOff>175752</xdr:rowOff>
    </xdr:to>
    <xdr:sp macro="" textlink="">
      <xdr:nvSpPr>
        <xdr:cNvPr id="72" name="직사각형 71"/>
        <xdr:cNvSpPr/>
      </xdr:nvSpPr>
      <xdr:spPr>
        <a:xfrm>
          <a:off x="5344583" y="378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19</xdr:row>
      <xdr:rowOff>31751</xdr:rowOff>
    </xdr:from>
    <xdr:to>
      <xdr:col>31</xdr:col>
      <xdr:colOff>622583</xdr:colOff>
      <xdr:row>19</xdr:row>
      <xdr:rowOff>175751</xdr:rowOff>
    </xdr:to>
    <xdr:sp macro="" textlink="">
      <xdr:nvSpPr>
        <xdr:cNvPr id="73" name="직사각형 72"/>
        <xdr:cNvSpPr/>
      </xdr:nvSpPr>
      <xdr:spPr>
        <a:xfrm>
          <a:off x="5344583" y="400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20</xdr:row>
      <xdr:rowOff>31751</xdr:rowOff>
    </xdr:from>
    <xdr:to>
      <xdr:col>31</xdr:col>
      <xdr:colOff>622583</xdr:colOff>
      <xdr:row>20</xdr:row>
      <xdr:rowOff>175751</xdr:rowOff>
    </xdr:to>
    <xdr:sp macro="" textlink="">
      <xdr:nvSpPr>
        <xdr:cNvPr id="74" name="직사각형 73"/>
        <xdr:cNvSpPr/>
      </xdr:nvSpPr>
      <xdr:spPr>
        <a:xfrm>
          <a:off x="5344583" y="4212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21</xdr:row>
      <xdr:rowOff>21169</xdr:rowOff>
    </xdr:from>
    <xdr:to>
      <xdr:col>31</xdr:col>
      <xdr:colOff>622583</xdr:colOff>
      <xdr:row>21</xdr:row>
      <xdr:rowOff>165169</xdr:rowOff>
    </xdr:to>
    <xdr:sp macro="" textlink="">
      <xdr:nvSpPr>
        <xdr:cNvPr id="75" name="직사각형 74"/>
        <xdr:cNvSpPr/>
      </xdr:nvSpPr>
      <xdr:spPr>
        <a:xfrm>
          <a:off x="5344583" y="4413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22</xdr:row>
      <xdr:rowOff>21169</xdr:rowOff>
    </xdr:from>
    <xdr:to>
      <xdr:col>31</xdr:col>
      <xdr:colOff>622583</xdr:colOff>
      <xdr:row>22</xdr:row>
      <xdr:rowOff>165169</xdr:rowOff>
    </xdr:to>
    <xdr:sp macro="" textlink="">
      <xdr:nvSpPr>
        <xdr:cNvPr id="76" name="직사각형 75"/>
        <xdr:cNvSpPr/>
      </xdr:nvSpPr>
      <xdr:spPr>
        <a:xfrm>
          <a:off x="5344583" y="462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23</xdr:row>
      <xdr:rowOff>21168</xdr:rowOff>
    </xdr:from>
    <xdr:to>
      <xdr:col>31</xdr:col>
      <xdr:colOff>622583</xdr:colOff>
      <xdr:row>23</xdr:row>
      <xdr:rowOff>165168</xdr:rowOff>
    </xdr:to>
    <xdr:sp macro="" textlink="">
      <xdr:nvSpPr>
        <xdr:cNvPr id="77" name="직사각형 76"/>
        <xdr:cNvSpPr/>
      </xdr:nvSpPr>
      <xdr:spPr>
        <a:xfrm>
          <a:off x="5344583" y="483658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25</xdr:row>
      <xdr:rowOff>31752</xdr:rowOff>
    </xdr:from>
    <xdr:to>
      <xdr:col>31</xdr:col>
      <xdr:colOff>622583</xdr:colOff>
      <xdr:row>25</xdr:row>
      <xdr:rowOff>175752</xdr:rowOff>
    </xdr:to>
    <xdr:sp macro="" textlink="">
      <xdr:nvSpPr>
        <xdr:cNvPr id="78" name="직사각형 77"/>
        <xdr:cNvSpPr/>
      </xdr:nvSpPr>
      <xdr:spPr>
        <a:xfrm>
          <a:off x="5344583" y="527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26</xdr:row>
      <xdr:rowOff>31752</xdr:rowOff>
    </xdr:from>
    <xdr:to>
      <xdr:col>31</xdr:col>
      <xdr:colOff>622583</xdr:colOff>
      <xdr:row>26</xdr:row>
      <xdr:rowOff>175752</xdr:rowOff>
    </xdr:to>
    <xdr:sp macro="" textlink="">
      <xdr:nvSpPr>
        <xdr:cNvPr id="79" name="직사각형 78"/>
        <xdr:cNvSpPr/>
      </xdr:nvSpPr>
      <xdr:spPr>
        <a:xfrm>
          <a:off x="5344583" y="548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27</xdr:row>
      <xdr:rowOff>31752</xdr:rowOff>
    </xdr:from>
    <xdr:to>
      <xdr:col>31</xdr:col>
      <xdr:colOff>622583</xdr:colOff>
      <xdr:row>27</xdr:row>
      <xdr:rowOff>175752</xdr:rowOff>
    </xdr:to>
    <xdr:sp macro="" textlink="">
      <xdr:nvSpPr>
        <xdr:cNvPr id="80" name="직사각형 79"/>
        <xdr:cNvSpPr/>
      </xdr:nvSpPr>
      <xdr:spPr>
        <a:xfrm>
          <a:off x="5344583" y="5693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28</xdr:row>
      <xdr:rowOff>31752</xdr:rowOff>
    </xdr:from>
    <xdr:to>
      <xdr:col>31</xdr:col>
      <xdr:colOff>622583</xdr:colOff>
      <xdr:row>28</xdr:row>
      <xdr:rowOff>175752</xdr:rowOff>
    </xdr:to>
    <xdr:sp macro="" textlink="">
      <xdr:nvSpPr>
        <xdr:cNvPr id="81" name="직사각형 80"/>
        <xdr:cNvSpPr/>
      </xdr:nvSpPr>
      <xdr:spPr>
        <a:xfrm>
          <a:off x="5344583" y="590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24</xdr:row>
      <xdr:rowOff>31752</xdr:rowOff>
    </xdr:from>
    <xdr:to>
      <xdr:col>31</xdr:col>
      <xdr:colOff>622583</xdr:colOff>
      <xdr:row>24</xdr:row>
      <xdr:rowOff>175752</xdr:rowOff>
    </xdr:to>
    <xdr:sp macro="" textlink="">
      <xdr:nvSpPr>
        <xdr:cNvPr id="82" name="직사각형 81"/>
        <xdr:cNvSpPr/>
      </xdr:nvSpPr>
      <xdr:spPr>
        <a:xfrm>
          <a:off x="5344583" y="505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29</xdr:row>
      <xdr:rowOff>31752</xdr:rowOff>
    </xdr:from>
    <xdr:to>
      <xdr:col>31</xdr:col>
      <xdr:colOff>622583</xdr:colOff>
      <xdr:row>29</xdr:row>
      <xdr:rowOff>175752</xdr:rowOff>
    </xdr:to>
    <xdr:sp macro="" textlink="">
      <xdr:nvSpPr>
        <xdr:cNvPr id="83" name="직사각형 82"/>
        <xdr:cNvSpPr/>
      </xdr:nvSpPr>
      <xdr:spPr>
        <a:xfrm>
          <a:off x="5344583" y="6117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30</xdr:row>
      <xdr:rowOff>31752</xdr:rowOff>
    </xdr:from>
    <xdr:to>
      <xdr:col>31</xdr:col>
      <xdr:colOff>622583</xdr:colOff>
      <xdr:row>30</xdr:row>
      <xdr:rowOff>175752</xdr:rowOff>
    </xdr:to>
    <xdr:sp macro="" textlink="">
      <xdr:nvSpPr>
        <xdr:cNvPr id="84" name="직사각형 83"/>
        <xdr:cNvSpPr/>
      </xdr:nvSpPr>
      <xdr:spPr>
        <a:xfrm>
          <a:off x="5344583" y="632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31</xdr:row>
      <xdr:rowOff>31752</xdr:rowOff>
    </xdr:from>
    <xdr:to>
      <xdr:col>31</xdr:col>
      <xdr:colOff>622583</xdr:colOff>
      <xdr:row>31</xdr:row>
      <xdr:rowOff>175752</xdr:rowOff>
    </xdr:to>
    <xdr:sp macro="" textlink="">
      <xdr:nvSpPr>
        <xdr:cNvPr id="85" name="직사각형 84"/>
        <xdr:cNvSpPr/>
      </xdr:nvSpPr>
      <xdr:spPr>
        <a:xfrm>
          <a:off x="5344583" y="654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32</xdr:row>
      <xdr:rowOff>31752</xdr:rowOff>
    </xdr:from>
    <xdr:to>
      <xdr:col>31</xdr:col>
      <xdr:colOff>622583</xdr:colOff>
      <xdr:row>32</xdr:row>
      <xdr:rowOff>175752</xdr:rowOff>
    </xdr:to>
    <xdr:sp macro="" textlink="">
      <xdr:nvSpPr>
        <xdr:cNvPr id="86" name="직사각형 85"/>
        <xdr:cNvSpPr/>
      </xdr:nvSpPr>
      <xdr:spPr>
        <a:xfrm>
          <a:off x="5344583" y="675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5</xdr:row>
      <xdr:rowOff>31751</xdr:rowOff>
    </xdr:from>
    <xdr:to>
      <xdr:col>36</xdr:col>
      <xdr:colOff>190583</xdr:colOff>
      <xdr:row>5</xdr:row>
      <xdr:rowOff>175751</xdr:rowOff>
    </xdr:to>
    <xdr:sp macro="" textlink="">
      <xdr:nvSpPr>
        <xdr:cNvPr id="87" name="직사각형 86"/>
        <xdr:cNvSpPr/>
      </xdr:nvSpPr>
      <xdr:spPr>
        <a:xfrm>
          <a:off x="4265083" y="1037168"/>
          <a:ext cx="18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ctr"/>
        <a:lstStyle/>
        <a:p>
          <a:pPr marL="0" indent="0" algn="r"/>
          <a:r>
            <a:rPr lang="en-US" altLang="ko-KR" sz="900">
              <a:solidFill>
                <a:schemeClr val="lt1"/>
              </a:solidFill>
              <a:latin typeface="+mn-lt"/>
              <a:ea typeface="+mn-ea"/>
              <a:cs typeface="+mn-cs"/>
            </a:rPr>
            <a:t>10%</a:t>
          </a:r>
          <a:endParaRPr lang="ko-KR" altLang="en-US" sz="9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10583</xdr:colOff>
      <xdr:row>6</xdr:row>
      <xdr:rowOff>31752</xdr:rowOff>
    </xdr:from>
    <xdr:to>
      <xdr:col>36</xdr:col>
      <xdr:colOff>46583</xdr:colOff>
      <xdr:row>6</xdr:row>
      <xdr:rowOff>175752</xdr:rowOff>
    </xdr:to>
    <xdr:sp macro="" textlink="">
      <xdr:nvSpPr>
        <xdr:cNvPr id="88" name="직사각형 87"/>
        <xdr:cNvSpPr/>
      </xdr:nvSpPr>
      <xdr:spPr>
        <a:xfrm>
          <a:off x="6762750" y="1248835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7</xdr:row>
      <xdr:rowOff>31751</xdr:rowOff>
    </xdr:from>
    <xdr:to>
      <xdr:col>36</xdr:col>
      <xdr:colOff>82583</xdr:colOff>
      <xdr:row>7</xdr:row>
      <xdr:rowOff>175751</xdr:rowOff>
    </xdr:to>
    <xdr:sp macro="" textlink="">
      <xdr:nvSpPr>
        <xdr:cNvPr id="89" name="직사각형 88"/>
        <xdr:cNvSpPr/>
      </xdr:nvSpPr>
      <xdr:spPr>
        <a:xfrm>
          <a:off x="6762750" y="1460501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8</xdr:row>
      <xdr:rowOff>31751</xdr:rowOff>
    </xdr:from>
    <xdr:to>
      <xdr:col>36</xdr:col>
      <xdr:colOff>46583</xdr:colOff>
      <xdr:row>8</xdr:row>
      <xdr:rowOff>175751</xdr:rowOff>
    </xdr:to>
    <xdr:sp macro="" textlink="">
      <xdr:nvSpPr>
        <xdr:cNvPr id="90" name="직사각형 89"/>
        <xdr:cNvSpPr/>
      </xdr:nvSpPr>
      <xdr:spPr>
        <a:xfrm>
          <a:off x="6762750" y="1672168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9</xdr:row>
      <xdr:rowOff>21169</xdr:rowOff>
    </xdr:from>
    <xdr:to>
      <xdr:col>36</xdr:col>
      <xdr:colOff>46583</xdr:colOff>
      <xdr:row>9</xdr:row>
      <xdr:rowOff>165169</xdr:rowOff>
    </xdr:to>
    <xdr:sp macro="" textlink="">
      <xdr:nvSpPr>
        <xdr:cNvPr id="91" name="직사각형 90"/>
        <xdr:cNvSpPr/>
      </xdr:nvSpPr>
      <xdr:spPr>
        <a:xfrm>
          <a:off x="6762750" y="1873252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10</xdr:row>
      <xdr:rowOff>21169</xdr:rowOff>
    </xdr:from>
    <xdr:to>
      <xdr:col>36</xdr:col>
      <xdr:colOff>82583</xdr:colOff>
      <xdr:row>10</xdr:row>
      <xdr:rowOff>165169</xdr:rowOff>
    </xdr:to>
    <xdr:sp macro="" textlink="">
      <xdr:nvSpPr>
        <xdr:cNvPr id="92" name="직사각형 91"/>
        <xdr:cNvSpPr/>
      </xdr:nvSpPr>
      <xdr:spPr>
        <a:xfrm>
          <a:off x="6762750" y="2084919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11</xdr:row>
      <xdr:rowOff>21168</xdr:rowOff>
    </xdr:from>
    <xdr:to>
      <xdr:col>36</xdr:col>
      <xdr:colOff>118583</xdr:colOff>
      <xdr:row>11</xdr:row>
      <xdr:rowOff>165168</xdr:rowOff>
    </xdr:to>
    <xdr:sp macro="" textlink="">
      <xdr:nvSpPr>
        <xdr:cNvPr id="93" name="직사각형 92"/>
        <xdr:cNvSpPr/>
      </xdr:nvSpPr>
      <xdr:spPr>
        <a:xfrm>
          <a:off x="6762750" y="2296585"/>
          <a:ext cx="10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12</xdr:row>
      <xdr:rowOff>21169</xdr:rowOff>
    </xdr:from>
    <xdr:to>
      <xdr:col>36</xdr:col>
      <xdr:colOff>154583</xdr:colOff>
      <xdr:row>12</xdr:row>
      <xdr:rowOff>165169</xdr:rowOff>
    </xdr:to>
    <xdr:sp macro="" textlink="">
      <xdr:nvSpPr>
        <xdr:cNvPr id="94" name="직사각형 93"/>
        <xdr:cNvSpPr/>
      </xdr:nvSpPr>
      <xdr:spPr>
        <a:xfrm>
          <a:off x="6762750" y="2508252"/>
          <a:ext cx="14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13</xdr:row>
      <xdr:rowOff>31752</xdr:rowOff>
    </xdr:from>
    <xdr:to>
      <xdr:col>36</xdr:col>
      <xdr:colOff>82583</xdr:colOff>
      <xdr:row>13</xdr:row>
      <xdr:rowOff>175752</xdr:rowOff>
    </xdr:to>
    <xdr:sp macro="" textlink="">
      <xdr:nvSpPr>
        <xdr:cNvPr id="95" name="직사각형 94"/>
        <xdr:cNvSpPr/>
      </xdr:nvSpPr>
      <xdr:spPr>
        <a:xfrm>
          <a:off x="6762750" y="2730502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14</xdr:row>
      <xdr:rowOff>31752</xdr:rowOff>
    </xdr:from>
    <xdr:to>
      <xdr:col>36</xdr:col>
      <xdr:colOff>190583</xdr:colOff>
      <xdr:row>14</xdr:row>
      <xdr:rowOff>175752</xdr:rowOff>
    </xdr:to>
    <xdr:sp macro="" textlink="">
      <xdr:nvSpPr>
        <xdr:cNvPr id="96" name="직사각형 95"/>
        <xdr:cNvSpPr/>
      </xdr:nvSpPr>
      <xdr:spPr>
        <a:xfrm>
          <a:off x="6762750" y="2942169"/>
          <a:ext cx="18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15</xdr:row>
      <xdr:rowOff>31752</xdr:rowOff>
    </xdr:from>
    <xdr:to>
      <xdr:col>36</xdr:col>
      <xdr:colOff>118583</xdr:colOff>
      <xdr:row>15</xdr:row>
      <xdr:rowOff>175752</xdr:rowOff>
    </xdr:to>
    <xdr:sp macro="" textlink="">
      <xdr:nvSpPr>
        <xdr:cNvPr id="97" name="직사각형 96"/>
        <xdr:cNvSpPr/>
      </xdr:nvSpPr>
      <xdr:spPr>
        <a:xfrm>
          <a:off x="6762750" y="3153835"/>
          <a:ext cx="10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16</xdr:row>
      <xdr:rowOff>31752</xdr:rowOff>
    </xdr:from>
    <xdr:to>
      <xdr:col>36</xdr:col>
      <xdr:colOff>622583</xdr:colOff>
      <xdr:row>16</xdr:row>
      <xdr:rowOff>175752</xdr:rowOff>
    </xdr:to>
    <xdr:sp macro="" textlink="">
      <xdr:nvSpPr>
        <xdr:cNvPr id="98" name="직사각형 97"/>
        <xdr:cNvSpPr/>
      </xdr:nvSpPr>
      <xdr:spPr>
        <a:xfrm>
          <a:off x="6762750" y="336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17</xdr:row>
      <xdr:rowOff>31751</xdr:rowOff>
    </xdr:from>
    <xdr:to>
      <xdr:col>36</xdr:col>
      <xdr:colOff>622583</xdr:colOff>
      <xdr:row>17</xdr:row>
      <xdr:rowOff>175751</xdr:rowOff>
    </xdr:to>
    <xdr:sp macro="" textlink="">
      <xdr:nvSpPr>
        <xdr:cNvPr id="99" name="직사각형 98"/>
        <xdr:cNvSpPr/>
      </xdr:nvSpPr>
      <xdr:spPr>
        <a:xfrm>
          <a:off x="6762750" y="3577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18</xdr:row>
      <xdr:rowOff>31752</xdr:rowOff>
    </xdr:from>
    <xdr:to>
      <xdr:col>36</xdr:col>
      <xdr:colOff>622583</xdr:colOff>
      <xdr:row>18</xdr:row>
      <xdr:rowOff>175752</xdr:rowOff>
    </xdr:to>
    <xdr:sp macro="" textlink="">
      <xdr:nvSpPr>
        <xdr:cNvPr id="100" name="직사각형 99"/>
        <xdr:cNvSpPr/>
      </xdr:nvSpPr>
      <xdr:spPr>
        <a:xfrm>
          <a:off x="6762750" y="378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19</xdr:row>
      <xdr:rowOff>31751</xdr:rowOff>
    </xdr:from>
    <xdr:to>
      <xdr:col>36</xdr:col>
      <xdr:colOff>622583</xdr:colOff>
      <xdr:row>19</xdr:row>
      <xdr:rowOff>175751</xdr:rowOff>
    </xdr:to>
    <xdr:sp macro="" textlink="">
      <xdr:nvSpPr>
        <xdr:cNvPr id="101" name="직사각형 100"/>
        <xdr:cNvSpPr/>
      </xdr:nvSpPr>
      <xdr:spPr>
        <a:xfrm>
          <a:off x="6762750" y="400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20</xdr:row>
      <xdr:rowOff>31751</xdr:rowOff>
    </xdr:from>
    <xdr:to>
      <xdr:col>36</xdr:col>
      <xdr:colOff>622583</xdr:colOff>
      <xdr:row>20</xdr:row>
      <xdr:rowOff>175751</xdr:rowOff>
    </xdr:to>
    <xdr:sp macro="" textlink="">
      <xdr:nvSpPr>
        <xdr:cNvPr id="102" name="직사각형 101"/>
        <xdr:cNvSpPr/>
      </xdr:nvSpPr>
      <xdr:spPr>
        <a:xfrm>
          <a:off x="6762750" y="421216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21</xdr:row>
      <xdr:rowOff>21169</xdr:rowOff>
    </xdr:from>
    <xdr:to>
      <xdr:col>36</xdr:col>
      <xdr:colOff>622583</xdr:colOff>
      <xdr:row>21</xdr:row>
      <xdr:rowOff>165169</xdr:rowOff>
    </xdr:to>
    <xdr:sp macro="" textlink="">
      <xdr:nvSpPr>
        <xdr:cNvPr id="103" name="직사각형 102"/>
        <xdr:cNvSpPr/>
      </xdr:nvSpPr>
      <xdr:spPr>
        <a:xfrm>
          <a:off x="6762750" y="4413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22</xdr:row>
      <xdr:rowOff>21169</xdr:rowOff>
    </xdr:from>
    <xdr:to>
      <xdr:col>36</xdr:col>
      <xdr:colOff>622583</xdr:colOff>
      <xdr:row>22</xdr:row>
      <xdr:rowOff>165169</xdr:rowOff>
    </xdr:to>
    <xdr:sp macro="" textlink="">
      <xdr:nvSpPr>
        <xdr:cNvPr id="104" name="직사각형 103"/>
        <xdr:cNvSpPr/>
      </xdr:nvSpPr>
      <xdr:spPr>
        <a:xfrm>
          <a:off x="6762750" y="46249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23</xdr:row>
      <xdr:rowOff>21168</xdr:rowOff>
    </xdr:from>
    <xdr:to>
      <xdr:col>36</xdr:col>
      <xdr:colOff>622583</xdr:colOff>
      <xdr:row>23</xdr:row>
      <xdr:rowOff>165168</xdr:rowOff>
    </xdr:to>
    <xdr:sp macro="" textlink="">
      <xdr:nvSpPr>
        <xdr:cNvPr id="105" name="직사각형 104"/>
        <xdr:cNvSpPr/>
      </xdr:nvSpPr>
      <xdr:spPr>
        <a:xfrm>
          <a:off x="6762750" y="483658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25</xdr:row>
      <xdr:rowOff>31752</xdr:rowOff>
    </xdr:from>
    <xdr:to>
      <xdr:col>36</xdr:col>
      <xdr:colOff>622583</xdr:colOff>
      <xdr:row>25</xdr:row>
      <xdr:rowOff>175752</xdr:rowOff>
    </xdr:to>
    <xdr:sp macro="" textlink="">
      <xdr:nvSpPr>
        <xdr:cNvPr id="106" name="직사각형 105"/>
        <xdr:cNvSpPr/>
      </xdr:nvSpPr>
      <xdr:spPr>
        <a:xfrm>
          <a:off x="6762750" y="527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26</xdr:row>
      <xdr:rowOff>31752</xdr:rowOff>
    </xdr:from>
    <xdr:to>
      <xdr:col>36</xdr:col>
      <xdr:colOff>622583</xdr:colOff>
      <xdr:row>26</xdr:row>
      <xdr:rowOff>175752</xdr:rowOff>
    </xdr:to>
    <xdr:sp macro="" textlink="">
      <xdr:nvSpPr>
        <xdr:cNvPr id="107" name="직사각형 106"/>
        <xdr:cNvSpPr/>
      </xdr:nvSpPr>
      <xdr:spPr>
        <a:xfrm>
          <a:off x="6762750" y="548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27</xdr:row>
      <xdr:rowOff>31752</xdr:rowOff>
    </xdr:from>
    <xdr:to>
      <xdr:col>36</xdr:col>
      <xdr:colOff>622583</xdr:colOff>
      <xdr:row>27</xdr:row>
      <xdr:rowOff>175752</xdr:rowOff>
    </xdr:to>
    <xdr:sp macro="" textlink="">
      <xdr:nvSpPr>
        <xdr:cNvPr id="108" name="직사각형 107"/>
        <xdr:cNvSpPr/>
      </xdr:nvSpPr>
      <xdr:spPr>
        <a:xfrm>
          <a:off x="6762750" y="5693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28</xdr:row>
      <xdr:rowOff>31752</xdr:rowOff>
    </xdr:from>
    <xdr:to>
      <xdr:col>36</xdr:col>
      <xdr:colOff>622583</xdr:colOff>
      <xdr:row>28</xdr:row>
      <xdr:rowOff>175752</xdr:rowOff>
    </xdr:to>
    <xdr:sp macro="" textlink="">
      <xdr:nvSpPr>
        <xdr:cNvPr id="109" name="직사각형 108"/>
        <xdr:cNvSpPr/>
      </xdr:nvSpPr>
      <xdr:spPr>
        <a:xfrm>
          <a:off x="6762750" y="5905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24</xdr:row>
      <xdr:rowOff>31752</xdr:rowOff>
    </xdr:from>
    <xdr:to>
      <xdr:col>36</xdr:col>
      <xdr:colOff>622583</xdr:colOff>
      <xdr:row>24</xdr:row>
      <xdr:rowOff>175752</xdr:rowOff>
    </xdr:to>
    <xdr:sp macro="" textlink="">
      <xdr:nvSpPr>
        <xdr:cNvPr id="110" name="직사각형 109"/>
        <xdr:cNvSpPr/>
      </xdr:nvSpPr>
      <xdr:spPr>
        <a:xfrm>
          <a:off x="6762750" y="505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29</xdr:row>
      <xdr:rowOff>31752</xdr:rowOff>
    </xdr:from>
    <xdr:to>
      <xdr:col>36</xdr:col>
      <xdr:colOff>622583</xdr:colOff>
      <xdr:row>29</xdr:row>
      <xdr:rowOff>175752</xdr:rowOff>
    </xdr:to>
    <xdr:sp macro="" textlink="">
      <xdr:nvSpPr>
        <xdr:cNvPr id="111" name="직사각형 110"/>
        <xdr:cNvSpPr/>
      </xdr:nvSpPr>
      <xdr:spPr>
        <a:xfrm>
          <a:off x="6762750" y="6117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30</xdr:row>
      <xdr:rowOff>31752</xdr:rowOff>
    </xdr:from>
    <xdr:to>
      <xdr:col>36</xdr:col>
      <xdr:colOff>622583</xdr:colOff>
      <xdr:row>30</xdr:row>
      <xdr:rowOff>175752</xdr:rowOff>
    </xdr:to>
    <xdr:sp macro="" textlink="">
      <xdr:nvSpPr>
        <xdr:cNvPr id="112" name="직사각형 111"/>
        <xdr:cNvSpPr/>
      </xdr:nvSpPr>
      <xdr:spPr>
        <a:xfrm>
          <a:off x="6762750" y="6328835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31</xdr:row>
      <xdr:rowOff>31752</xdr:rowOff>
    </xdr:from>
    <xdr:to>
      <xdr:col>36</xdr:col>
      <xdr:colOff>622583</xdr:colOff>
      <xdr:row>31</xdr:row>
      <xdr:rowOff>175752</xdr:rowOff>
    </xdr:to>
    <xdr:sp macro="" textlink="">
      <xdr:nvSpPr>
        <xdr:cNvPr id="113" name="직사각형 112"/>
        <xdr:cNvSpPr/>
      </xdr:nvSpPr>
      <xdr:spPr>
        <a:xfrm>
          <a:off x="6762750" y="6540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32</xdr:row>
      <xdr:rowOff>31752</xdr:rowOff>
    </xdr:from>
    <xdr:to>
      <xdr:col>36</xdr:col>
      <xdr:colOff>622583</xdr:colOff>
      <xdr:row>32</xdr:row>
      <xdr:rowOff>175752</xdr:rowOff>
    </xdr:to>
    <xdr:sp macro="" textlink="">
      <xdr:nvSpPr>
        <xdr:cNvPr id="114" name="직사각형 113"/>
        <xdr:cNvSpPr/>
      </xdr:nvSpPr>
      <xdr:spPr>
        <a:xfrm>
          <a:off x="6762750" y="6752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38100</xdr:colOff>
          <xdr:row>2</xdr:row>
          <xdr:rowOff>9525</xdr:rowOff>
        </xdr:from>
        <xdr:to>
          <xdr:col>40</xdr:col>
          <xdr:colOff>542925</xdr:colOff>
          <xdr:row>4</xdr:row>
          <xdr:rowOff>266700</xdr:rowOff>
        </xdr:to>
        <xdr:sp macro="" textlink="">
          <xdr:nvSpPr>
            <xdr:cNvPr id="37889" name="Object 1" hidden="1">
              <a:extLst>
                <a:ext uri="{63B3BB69-23CF-44E3-9099-C40C66FF867C}">
                  <a14:compatExt spid="_x0000_s37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5</xdr:row>
      <xdr:rowOff>31751</xdr:rowOff>
    </xdr:from>
    <xdr:to>
      <xdr:col>19</xdr:col>
      <xdr:colOff>468000</xdr:colOff>
      <xdr:row>5</xdr:row>
      <xdr:rowOff>175751</xdr:rowOff>
    </xdr:to>
    <xdr:sp macro="" textlink="">
      <xdr:nvSpPr>
        <xdr:cNvPr id="2" name="직사각형 1"/>
        <xdr:cNvSpPr/>
      </xdr:nvSpPr>
      <xdr:spPr>
        <a:xfrm>
          <a:off x="2486025" y="1041401"/>
          <a:ext cx="46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6</xdr:row>
      <xdr:rowOff>31752</xdr:rowOff>
    </xdr:from>
    <xdr:to>
      <xdr:col>19</xdr:col>
      <xdr:colOff>288000</xdr:colOff>
      <xdr:row>6</xdr:row>
      <xdr:rowOff>175752</xdr:rowOff>
    </xdr:to>
    <xdr:sp macro="" textlink="">
      <xdr:nvSpPr>
        <xdr:cNvPr id="3" name="직사각형 2"/>
        <xdr:cNvSpPr/>
      </xdr:nvSpPr>
      <xdr:spPr>
        <a:xfrm>
          <a:off x="2486025" y="1250952"/>
          <a:ext cx="28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7</xdr:row>
      <xdr:rowOff>31751</xdr:rowOff>
    </xdr:from>
    <xdr:to>
      <xdr:col>19</xdr:col>
      <xdr:colOff>612000</xdr:colOff>
      <xdr:row>7</xdr:row>
      <xdr:rowOff>175751</xdr:rowOff>
    </xdr:to>
    <xdr:sp macro="" textlink="">
      <xdr:nvSpPr>
        <xdr:cNvPr id="4" name="직사각형 3"/>
        <xdr:cNvSpPr/>
      </xdr:nvSpPr>
      <xdr:spPr>
        <a:xfrm>
          <a:off x="2486025" y="14605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8</xdr:row>
      <xdr:rowOff>31751</xdr:rowOff>
    </xdr:from>
    <xdr:to>
      <xdr:col>19</xdr:col>
      <xdr:colOff>432000</xdr:colOff>
      <xdr:row>8</xdr:row>
      <xdr:rowOff>175751</xdr:rowOff>
    </xdr:to>
    <xdr:sp macro="" textlink="">
      <xdr:nvSpPr>
        <xdr:cNvPr id="5" name="직사각형 4"/>
        <xdr:cNvSpPr/>
      </xdr:nvSpPr>
      <xdr:spPr>
        <a:xfrm>
          <a:off x="2486025" y="1670051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9</xdr:row>
      <xdr:rowOff>21169</xdr:rowOff>
    </xdr:from>
    <xdr:to>
      <xdr:col>19</xdr:col>
      <xdr:colOff>504000</xdr:colOff>
      <xdr:row>9</xdr:row>
      <xdr:rowOff>165169</xdr:rowOff>
    </xdr:to>
    <xdr:sp macro="" textlink="">
      <xdr:nvSpPr>
        <xdr:cNvPr id="6" name="직사각형 5"/>
        <xdr:cNvSpPr/>
      </xdr:nvSpPr>
      <xdr:spPr>
        <a:xfrm>
          <a:off x="2486025" y="1869019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10</xdr:row>
      <xdr:rowOff>21169</xdr:rowOff>
    </xdr:from>
    <xdr:to>
      <xdr:col>19</xdr:col>
      <xdr:colOff>612000</xdr:colOff>
      <xdr:row>10</xdr:row>
      <xdr:rowOff>165169</xdr:rowOff>
    </xdr:to>
    <xdr:sp macro="" textlink="">
      <xdr:nvSpPr>
        <xdr:cNvPr id="7" name="직사각형 6"/>
        <xdr:cNvSpPr/>
      </xdr:nvSpPr>
      <xdr:spPr>
        <a:xfrm>
          <a:off x="2486025" y="20785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11</xdr:row>
      <xdr:rowOff>21168</xdr:rowOff>
    </xdr:from>
    <xdr:to>
      <xdr:col>19</xdr:col>
      <xdr:colOff>576000</xdr:colOff>
      <xdr:row>11</xdr:row>
      <xdr:rowOff>165168</xdr:rowOff>
    </xdr:to>
    <xdr:sp macro="" textlink="">
      <xdr:nvSpPr>
        <xdr:cNvPr id="8" name="직사각형 7"/>
        <xdr:cNvSpPr/>
      </xdr:nvSpPr>
      <xdr:spPr>
        <a:xfrm>
          <a:off x="2486025" y="2288118"/>
          <a:ext cx="57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12</xdr:row>
      <xdr:rowOff>21169</xdr:rowOff>
    </xdr:from>
    <xdr:to>
      <xdr:col>19</xdr:col>
      <xdr:colOff>648000</xdr:colOff>
      <xdr:row>12</xdr:row>
      <xdr:rowOff>165169</xdr:rowOff>
    </xdr:to>
    <xdr:sp macro="" textlink="">
      <xdr:nvSpPr>
        <xdr:cNvPr id="9" name="직사각형 8"/>
        <xdr:cNvSpPr/>
      </xdr:nvSpPr>
      <xdr:spPr>
        <a:xfrm>
          <a:off x="2486025" y="2497669"/>
          <a:ext cx="64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13</xdr:row>
      <xdr:rowOff>31752</xdr:rowOff>
    </xdr:from>
    <xdr:to>
      <xdr:col>19</xdr:col>
      <xdr:colOff>504000</xdr:colOff>
      <xdr:row>13</xdr:row>
      <xdr:rowOff>175752</xdr:rowOff>
    </xdr:to>
    <xdr:sp macro="" textlink="">
      <xdr:nvSpPr>
        <xdr:cNvPr id="10" name="직사각형 9"/>
        <xdr:cNvSpPr/>
      </xdr:nvSpPr>
      <xdr:spPr>
        <a:xfrm>
          <a:off x="2486025" y="271780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14</xdr:row>
      <xdr:rowOff>31752</xdr:rowOff>
    </xdr:from>
    <xdr:to>
      <xdr:col>19</xdr:col>
      <xdr:colOff>396000</xdr:colOff>
      <xdr:row>14</xdr:row>
      <xdr:rowOff>175752</xdr:rowOff>
    </xdr:to>
    <xdr:sp macro="" textlink="">
      <xdr:nvSpPr>
        <xdr:cNvPr id="11" name="직사각형 10"/>
        <xdr:cNvSpPr/>
      </xdr:nvSpPr>
      <xdr:spPr>
        <a:xfrm>
          <a:off x="2486025" y="2927352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15</xdr:row>
      <xdr:rowOff>31752</xdr:rowOff>
    </xdr:from>
    <xdr:to>
      <xdr:col>19</xdr:col>
      <xdr:colOff>504000</xdr:colOff>
      <xdr:row>15</xdr:row>
      <xdr:rowOff>175752</xdr:rowOff>
    </xdr:to>
    <xdr:sp macro="" textlink="">
      <xdr:nvSpPr>
        <xdr:cNvPr id="12" name="직사각형 11"/>
        <xdr:cNvSpPr/>
      </xdr:nvSpPr>
      <xdr:spPr>
        <a:xfrm>
          <a:off x="2486025" y="313690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16</xdr:row>
      <xdr:rowOff>31752</xdr:rowOff>
    </xdr:from>
    <xdr:to>
      <xdr:col>19</xdr:col>
      <xdr:colOff>612000</xdr:colOff>
      <xdr:row>16</xdr:row>
      <xdr:rowOff>175752</xdr:rowOff>
    </xdr:to>
    <xdr:sp macro="" textlink="">
      <xdr:nvSpPr>
        <xdr:cNvPr id="13" name="직사각형 12"/>
        <xdr:cNvSpPr/>
      </xdr:nvSpPr>
      <xdr:spPr>
        <a:xfrm>
          <a:off x="2486025" y="33464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17</xdr:row>
      <xdr:rowOff>31751</xdr:rowOff>
    </xdr:from>
    <xdr:to>
      <xdr:col>19</xdr:col>
      <xdr:colOff>612000</xdr:colOff>
      <xdr:row>17</xdr:row>
      <xdr:rowOff>175751</xdr:rowOff>
    </xdr:to>
    <xdr:sp macro="" textlink="">
      <xdr:nvSpPr>
        <xdr:cNvPr id="14" name="직사각형 13"/>
        <xdr:cNvSpPr/>
      </xdr:nvSpPr>
      <xdr:spPr>
        <a:xfrm>
          <a:off x="2486025" y="35560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18</xdr:row>
      <xdr:rowOff>31752</xdr:rowOff>
    </xdr:from>
    <xdr:to>
      <xdr:col>19</xdr:col>
      <xdr:colOff>612000</xdr:colOff>
      <xdr:row>18</xdr:row>
      <xdr:rowOff>175752</xdr:rowOff>
    </xdr:to>
    <xdr:sp macro="" textlink="">
      <xdr:nvSpPr>
        <xdr:cNvPr id="15" name="직사각형 14"/>
        <xdr:cNvSpPr/>
      </xdr:nvSpPr>
      <xdr:spPr>
        <a:xfrm>
          <a:off x="2486025" y="37655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19</xdr:row>
      <xdr:rowOff>31751</xdr:rowOff>
    </xdr:from>
    <xdr:to>
      <xdr:col>19</xdr:col>
      <xdr:colOff>612000</xdr:colOff>
      <xdr:row>19</xdr:row>
      <xdr:rowOff>175751</xdr:rowOff>
    </xdr:to>
    <xdr:sp macro="" textlink="">
      <xdr:nvSpPr>
        <xdr:cNvPr id="16" name="직사각형 15"/>
        <xdr:cNvSpPr/>
      </xdr:nvSpPr>
      <xdr:spPr>
        <a:xfrm>
          <a:off x="2486025" y="39751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20</xdr:row>
      <xdr:rowOff>31751</xdr:rowOff>
    </xdr:from>
    <xdr:to>
      <xdr:col>19</xdr:col>
      <xdr:colOff>612000</xdr:colOff>
      <xdr:row>20</xdr:row>
      <xdr:rowOff>175751</xdr:rowOff>
    </xdr:to>
    <xdr:sp macro="" textlink="">
      <xdr:nvSpPr>
        <xdr:cNvPr id="17" name="직사각형 16"/>
        <xdr:cNvSpPr/>
      </xdr:nvSpPr>
      <xdr:spPr>
        <a:xfrm>
          <a:off x="2486025" y="418465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21</xdr:row>
      <xdr:rowOff>21169</xdr:rowOff>
    </xdr:from>
    <xdr:to>
      <xdr:col>19</xdr:col>
      <xdr:colOff>612000</xdr:colOff>
      <xdr:row>21</xdr:row>
      <xdr:rowOff>165169</xdr:rowOff>
    </xdr:to>
    <xdr:sp macro="" textlink="">
      <xdr:nvSpPr>
        <xdr:cNvPr id="18" name="직사각형 17"/>
        <xdr:cNvSpPr/>
      </xdr:nvSpPr>
      <xdr:spPr>
        <a:xfrm>
          <a:off x="2486025" y="43836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22</xdr:row>
      <xdr:rowOff>21169</xdr:rowOff>
    </xdr:from>
    <xdr:to>
      <xdr:col>19</xdr:col>
      <xdr:colOff>612000</xdr:colOff>
      <xdr:row>22</xdr:row>
      <xdr:rowOff>165169</xdr:rowOff>
    </xdr:to>
    <xdr:sp macro="" textlink="">
      <xdr:nvSpPr>
        <xdr:cNvPr id="19" name="직사각형 18"/>
        <xdr:cNvSpPr/>
      </xdr:nvSpPr>
      <xdr:spPr>
        <a:xfrm>
          <a:off x="2486025" y="4593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23</xdr:row>
      <xdr:rowOff>21168</xdr:rowOff>
    </xdr:from>
    <xdr:to>
      <xdr:col>19</xdr:col>
      <xdr:colOff>612000</xdr:colOff>
      <xdr:row>23</xdr:row>
      <xdr:rowOff>165168</xdr:rowOff>
    </xdr:to>
    <xdr:sp macro="" textlink="">
      <xdr:nvSpPr>
        <xdr:cNvPr id="20" name="직사각형 19"/>
        <xdr:cNvSpPr/>
      </xdr:nvSpPr>
      <xdr:spPr>
        <a:xfrm>
          <a:off x="2486025" y="480271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25</xdr:row>
      <xdr:rowOff>31752</xdr:rowOff>
    </xdr:from>
    <xdr:to>
      <xdr:col>19</xdr:col>
      <xdr:colOff>612000</xdr:colOff>
      <xdr:row>25</xdr:row>
      <xdr:rowOff>175752</xdr:rowOff>
    </xdr:to>
    <xdr:sp macro="" textlink="">
      <xdr:nvSpPr>
        <xdr:cNvPr id="21" name="직사각형 20"/>
        <xdr:cNvSpPr/>
      </xdr:nvSpPr>
      <xdr:spPr>
        <a:xfrm>
          <a:off x="2486025" y="52324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26</xdr:row>
      <xdr:rowOff>31752</xdr:rowOff>
    </xdr:from>
    <xdr:to>
      <xdr:col>19</xdr:col>
      <xdr:colOff>612000</xdr:colOff>
      <xdr:row>26</xdr:row>
      <xdr:rowOff>175752</xdr:rowOff>
    </xdr:to>
    <xdr:sp macro="" textlink="">
      <xdr:nvSpPr>
        <xdr:cNvPr id="22" name="직사각형 21"/>
        <xdr:cNvSpPr/>
      </xdr:nvSpPr>
      <xdr:spPr>
        <a:xfrm>
          <a:off x="2486025" y="54419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27</xdr:row>
      <xdr:rowOff>31752</xdr:rowOff>
    </xdr:from>
    <xdr:to>
      <xdr:col>19</xdr:col>
      <xdr:colOff>612000</xdr:colOff>
      <xdr:row>27</xdr:row>
      <xdr:rowOff>175752</xdr:rowOff>
    </xdr:to>
    <xdr:sp macro="" textlink="">
      <xdr:nvSpPr>
        <xdr:cNvPr id="23" name="직사각형 22"/>
        <xdr:cNvSpPr/>
      </xdr:nvSpPr>
      <xdr:spPr>
        <a:xfrm>
          <a:off x="2486025" y="5651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28</xdr:row>
      <xdr:rowOff>31752</xdr:rowOff>
    </xdr:from>
    <xdr:to>
      <xdr:col>19</xdr:col>
      <xdr:colOff>612000</xdr:colOff>
      <xdr:row>28</xdr:row>
      <xdr:rowOff>175752</xdr:rowOff>
    </xdr:to>
    <xdr:sp macro="" textlink="">
      <xdr:nvSpPr>
        <xdr:cNvPr id="24" name="직사각형 23"/>
        <xdr:cNvSpPr/>
      </xdr:nvSpPr>
      <xdr:spPr>
        <a:xfrm>
          <a:off x="2486025" y="58610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24</xdr:row>
      <xdr:rowOff>31752</xdr:rowOff>
    </xdr:from>
    <xdr:to>
      <xdr:col>19</xdr:col>
      <xdr:colOff>612000</xdr:colOff>
      <xdr:row>24</xdr:row>
      <xdr:rowOff>175752</xdr:rowOff>
    </xdr:to>
    <xdr:sp macro="" textlink="">
      <xdr:nvSpPr>
        <xdr:cNvPr id="25" name="직사각형 24"/>
        <xdr:cNvSpPr/>
      </xdr:nvSpPr>
      <xdr:spPr>
        <a:xfrm>
          <a:off x="2486025" y="50228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29</xdr:row>
      <xdr:rowOff>31752</xdr:rowOff>
    </xdr:from>
    <xdr:to>
      <xdr:col>19</xdr:col>
      <xdr:colOff>612000</xdr:colOff>
      <xdr:row>29</xdr:row>
      <xdr:rowOff>175752</xdr:rowOff>
    </xdr:to>
    <xdr:sp macro="" textlink="">
      <xdr:nvSpPr>
        <xdr:cNvPr id="26" name="직사각형 25"/>
        <xdr:cNvSpPr/>
      </xdr:nvSpPr>
      <xdr:spPr>
        <a:xfrm>
          <a:off x="2486025" y="60706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30</xdr:row>
      <xdr:rowOff>31752</xdr:rowOff>
    </xdr:from>
    <xdr:to>
      <xdr:col>19</xdr:col>
      <xdr:colOff>612000</xdr:colOff>
      <xdr:row>30</xdr:row>
      <xdr:rowOff>175752</xdr:rowOff>
    </xdr:to>
    <xdr:sp macro="" textlink="">
      <xdr:nvSpPr>
        <xdr:cNvPr id="27" name="직사각형 26"/>
        <xdr:cNvSpPr/>
      </xdr:nvSpPr>
      <xdr:spPr>
        <a:xfrm>
          <a:off x="2486025" y="62801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31</xdr:row>
      <xdr:rowOff>31752</xdr:rowOff>
    </xdr:from>
    <xdr:to>
      <xdr:col>19</xdr:col>
      <xdr:colOff>612000</xdr:colOff>
      <xdr:row>31</xdr:row>
      <xdr:rowOff>175752</xdr:rowOff>
    </xdr:to>
    <xdr:sp macro="" textlink="">
      <xdr:nvSpPr>
        <xdr:cNvPr id="28" name="직사각형 27"/>
        <xdr:cNvSpPr/>
      </xdr:nvSpPr>
      <xdr:spPr>
        <a:xfrm>
          <a:off x="2486025" y="64897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0</xdr:colOff>
      <xdr:row>32</xdr:row>
      <xdr:rowOff>31752</xdr:rowOff>
    </xdr:from>
    <xdr:to>
      <xdr:col>19</xdr:col>
      <xdr:colOff>612000</xdr:colOff>
      <xdr:row>32</xdr:row>
      <xdr:rowOff>175752</xdr:rowOff>
    </xdr:to>
    <xdr:sp macro="" textlink="">
      <xdr:nvSpPr>
        <xdr:cNvPr id="29" name="직사각형 28"/>
        <xdr:cNvSpPr/>
      </xdr:nvSpPr>
      <xdr:spPr>
        <a:xfrm>
          <a:off x="2486025" y="6699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5</xdr:row>
      <xdr:rowOff>31751</xdr:rowOff>
    </xdr:from>
    <xdr:to>
      <xdr:col>24</xdr:col>
      <xdr:colOff>622584</xdr:colOff>
      <xdr:row>5</xdr:row>
      <xdr:rowOff>175751</xdr:rowOff>
    </xdr:to>
    <xdr:sp macro="" textlink="">
      <xdr:nvSpPr>
        <xdr:cNvPr id="30" name="직사각형 29"/>
        <xdr:cNvSpPr/>
      </xdr:nvSpPr>
      <xdr:spPr>
        <a:xfrm>
          <a:off x="3906309" y="10414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6</xdr:row>
      <xdr:rowOff>31752</xdr:rowOff>
    </xdr:from>
    <xdr:to>
      <xdr:col>24</xdr:col>
      <xdr:colOff>514584</xdr:colOff>
      <xdr:row>6</xdr:row>
      <xdr:rowOff>175752</xdr:rowOff>
    </xdr:to>
    <xdr:sp macro="" textlink="">
      <xdr:nvSpPr>
        <xdr:cNvPr id="31" name="직사각형 30"/>
        <xdr:cNvSpPr/>
      </xdr:nvSpPr>
      <xdr:spPr>
        <a:xfrm>
          <a:off x="3906309" y="125095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7</xdr:row>
      <xdr:rowOff>31751</xdr:rowOff>
    </xdr:from>
    <xdr:to>
      <xdr:col>26</xdr:col>
      <xdr:colOff>15167</xdr:colOff>
      <xdr:row>7</xdr:row>
      <xdr:rowOff>175751</xdr:rowOff>
    </xdr:to>
    <xdr:sp macro="" textlink="">
      <xdr:nvSpPr>
        <xdr:cNvPr id="32" name="직사각형 31"/>
        <xdr:cNvSpPr/>
      </xdr:nvSpPr>
      <xdr:spPr>
        <a:xfrm>
          <a:off x="3906309" y="1460501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8</xdr:row>
      <xdr:rowOff>31751</xdr:rowOff>
    </xdr:from>
    <xdr:to>
      <xdr:col>26</xdr:col>
      <xdr:colOff>15167</xdr:colOff>
      <xdr:row>8</xdr:row>
      <xdr:rowOff>175751</xdr:rowOff>
    </xdr:to>
    <xdr:sp macro="" textlink="">
      <xdr:nvSpPr>
        <xdr:cNvPr id="33" name="직사각형 32"/>
        <xdr:cNvSpPr/>
      </xdr:nvSpPr>
      <xdr:spPr>
        <a:xfrm>
          <a:off x="3906309" y="1670051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9</xdr:row>
      <xdr:rowOff>21169</xdr:rowOff>
    </xdr:from>
    <xdr:to>
      <xdr:col>26</xdr:col>
      <xdr:colOff>15167</xdr:colOff>
      <xdr:row>9</xdr:row>
      <xdr:rowOff>165169</xdr:rowOff>
    </xdr:to>
    <xdr:sp macro="" textlink="">
      <xdr:nvSpPr>
        <xdr:cNvPr id="34" name="직사각형 33"/>
        <xdr:cNvSpPr/>
      </xdr:nvSpPr>
      <xdr:spPr>
        <a:xfrm>
          <a:off x="3906309" y="1869019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10</xdr:row>
      <xdr:rowOff>21169</xdr:rowOff>
    </xdr:from>
    <xdr:to>
      <xdr:col>24</xdr:col>
      <xdr:colOff>622584</xdr:colOff>
      <xdr:row>10</xdr:row>
      <xdr:rowOff>165169</xdr:rowOff>
    </xdr:to>
    <xdr:sp macro="" textlink="">
      <xdr:nvSpPr>
        <xdr:cNvPr id="35" name="직사각형 34"/>
        <xdr:cNvSpPr/>
      </xdr:nvSpPr>
      <xdr:spPr>
        <a:xfrm>
          <a:off x="3906309" y="20785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11</xdr:row>
      <xdr:rowOff>21168</xdr:rowOff>
    </xdr:from>
    <xdr:to>
      <xdr:col>24</xdr:col>
      <xdr:colOff>406584</xdr:colOff>
      <xdr:row>11</xdr:row>
      <xdr:rowOff>165168</xdr:rowOff>
    </xdr:to>
    <xdr:sp macro="" textlink="">
      <xdr:nvSpPr>
        <xdr:cNvPr id="36" name="직사각형 35"/>
        <xdr:cNvSpPr/>
      </xdr:nvSpPr>
      <xdr:spPr>
        <a:xfrm>
          <a:off x="3906309" y="2288118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12</xdr:row>
      <xdr:rowOff>21169</xdr:rowOff>
    </xdr:from>
    <xdr:to>
      <xdr:col>24</xdr:col>
      <xdr:colOff>622584</xdr:colOff>
      <xdr:row>12</xdr:row>
      <xdr:rowOff>165169</xdr:rowOff>
    </xdr:to>
    <xdr:sp macro="" textlink="">
      <xdr:nvSpPr>
        <xdr:cNvPr id="37" name="직사각형 36"/>
        <xdr:cNvSpPr/>
      </xdr:nvSpPr>
      <xdr:spPr>
        <a:xfrm>
          <a:off x="3906309" y="24976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13</xdr:row>
      <xdr:rowOff>31752</xdr:rowOff>
    </xdr:from>
    <xdr:to>
      <xdr:col>24</xdr:col>
      <xdr:colOff>514584</xdr:colOff>
      <xdr:row>13</xdr:row>
      <xdr:rowOff>175752</xdr:rowOff>
    </xdr:to>
    <xdr:sp macro="" textlink="">
      <xdr:nvSpPr>
        <xdr:cNvPr id="38" name="직사각형 37"/>
        <xdr:cNvSpPr/>
      </xdr:nvSpPr>
      <xdr:spPr>
        <a:xfrm>
          <a:off x="3906309" y="271780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14</xdr:row>
      <xdr:rowOff>31752</xdr:rowOff>
    </xdr:from>
    <xdr:to>
      <xdr:col>26</xdr:col>
      <xdr:colOff>15167</xdr:colOff>
      <xdr:row>14</xdr:row>
      <xdr:rowOff>175752</xdr:rowOff>
    </xdr:to>
    <xdr:sp macro="" textlink="">
      <xdr:nvSpPr>
        <xdr:cNvPr id="39" name="직사각형 38"/>
        <xdr:cNvSpPr/>
      </xdr:nvSpPr>
      <xdr:spPr>
        <a:xfrm>
          <a:off x="3906309" y="2927352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15</xdr:row>
      <xdr:rowOff>31752</xdr:rowOff>
    </xdr:from>
    <xdr:to>
      <xdr:col>24</xdr:col>
      <xdr:colOff>406584</xdr:colOff>
      <xdr:row>15</xdr:row>
      <xdr:rowOff>175752</xdr:rowOff>
    </xdr:to>
    <xdr:sp macro="" textlink="">
      <xdr:nvSpPr>
        <xdr:cNvPr id="40" name="직사각형 39"/>
        <xdr:cNvSpPr/>
      </xdr:nvSpPr>
      <xdr:spPr>
        <a:xfrm>
          <a:off x="3906309" y="3136902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16</xdr:row>
      <xdr:rowOff>31752</xdr:rowOff>
    </xdr:from>
    <xdr:to>
      <xdr:col>24</xdr:col>
      <xdr:colOff>622584</xdr:colOff>
      <xdr:row>16</xdr:row>
      <xdr:rowOff>175752</xdr:rowOff>
    </xdr:to>
    <xdr:sp macro="" textlink="">
      <xdr:nvSpPr>
        <xdr:cNvPr id="41" name="직사각형 40"/>
        <xdr:cNvSpPr/>
      </xdr:nvSpPr>
      <xdr:spPr>
        <a:xfrm>
          <a:off x="3906309" y="33464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17</xdr:row>
      <xdr:rowOff>31751</xdr:rowOff>
    </xdr:from>
    <xdr:to>
      <xdr:col>24</xdr:col>
      <xdr:colOff>622584</xdr:colOff>
      <xdr:row>17</xdr:row>
      <xdr:rowOff>175751</xdr:rowOff>
    </xdr:to>
    <xdr:sp macro="" textlink="">
      <xdr:nvSpPr>
        <xdr:cNvPr id="42" name="직사각형 41"/>
        <xdr:cNvSpPr/>
      </xdr:nvSpPr>
      <xdr:spPr>
        <a:xfrm>
          <a:off x="3906309" y="35560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18</xdr:row>
      <xdr:rowOff>31752</xdr:rowOff>
    </xdr:from>
    <xdr:to>
      <xdr:col>24</xdr:col>
      <xdr:colOff>622584</xdr:colOff>
      <xdr:row>18</xdr:row>
      <xdr:rowOff>175752</xdr:rowOff>
    </xdr:to>
    <xdr:sp macro="" textlink="">
      <xdr:nvSpPr>
        <xdr:cNvPr id="43" name="직사각형 42"/>
        <xdr:cNvSpPr/>
      </xdr:nvSpPr>
      <xdr:spPr>
        <a:xfrm>
          <a:off x="3906309" y="37655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19</xdr:row>
      <xdr:rowOff>31751</xdr:rowOff>
    </xdr:from>
    <xdr:to>
      <xdr:col>24</xdr:col>
      <xdr:colOff>622584</xdr:colOff>
      <xdr:row>19</xdr:row>
      <xdr:rowOff>175751</xdr:rowOff>
    </xdr:to>
    <xdr:sp macro="" textlink="">
      <xdr:nvSpPr>
        <xdr:cNvPr id="44" name="직사각형 43"/>
        <xdr:cNvSpPr/>
      </xdr:nvSpPr>
      <xdr:spPr>
        <a:xfrm>
          <a:off x="3906309" y="39751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20</xdr:row>
      <xdr:rowOff>31751</xdr:rowOff>
    </xdr:from>
    <xdr:to>
      <xdr:col>24</xdr:col>
      <xdr:colOff>622584</xdr:colOff>
      <xdr:row>20</xdr:row>
      <xdr:rowOff>175751</xdr:rowOff>
    </xdr:to>
    <xdr:sp macro="" textlink="">
      <xdr:nvSpPr>
        <xdr:cNvPr id="45" name="직사각형 44"/>
        <xdr:cNvSpPr/>
      </xdr:nvSpPr>
      <xdr:spPr>
        <a:xfrm>
          <a:off x="3906309" y="418465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21</xdr:row>
      <xdr:rowOff>21169</xdr:rowOff>
    </xdr:from>
    <xdr:to>
      <xdr:col>24</xdr:col>
      <xdr:colOff>622584</xdr:colOff>
      <xdr:row>21</xdr:row>
      <xdr:rowOff>165169</xdr:rowOff>
    </xdr:to>
    <xdr:sp macro="" textlink="">
      <xdr:nvSpPr>
        <xdr:cNvPr id="46" name="직사각형 45"/>
        <xdr:cNvSpPr/>
      </xdr:nvSpPr>
      <xdr:spPr>
        <a:xfrm>
          <a:off x="3906309" y="43836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22</xdr:row>
      <xdr:rowOff>21169</xdr:rowOff>
    </xdr:from>
    <xdr:to>
      <xdr:col>24</xdr:col>
      <xdr:colOff>622584</xdr:colOff>
      <xdr:row>22</xdr:row>
      <xdr:rowOff>165169</xdr:rowOff>
    </xdr:to>
    <xdr:sp macro="" textlink="">
      <xdr:nvSpPr>
        <xdr:cNvPr id="47" name="직사각형 46"/>
        <xdr:cNvSpPr/>
      </xdr:nvSpPr>
      <xdr:spPr>
        <a:xfrm>
          <a:off x="3906309" y="4593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23</xdr:row>
      <xdr:rowOff>21168</xdr:rowOff>
    </xdr:from>
    <xdr:to>
      <xdr:col>24</xdr:col>
      <xdr:colOff>622584</xdr:colOff>
      <xdr:row>23</xdr:row>
      <xdr:rowOff>165168</xdr:rowOff>
    </xdr:to>
    <xdr:sp macro="" textlink="">
      <xdr:nvSpPr>
        <xdr:cNvPr id="48" name="직사각형 47"/>
        <xdr:cNvSpPr/>
      </xdr:nvSpPr>
      <xdr:spPr>
        <a:xfrm>
          <a:off x="3906309" y="480271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25</xdr:row>
      <xdr:rowOff>31752</xdr:rowOff>
    </xdr:from>
    <xdr:to>
      <xdr:col>24</xdr:col>
      <xdr:colOff>622584</xdr:colOff>
      <xdr:row>25</xdr:row>
      <xdr:rowOff>175752</xdr:rowOff>
    </xdr:to>
    <xdr:sp macro="" textlink="">
      <xdr:nvSpPr>
        <xdr:cNvPr id="49" name="직사각형 48"/>
        <xdr:cNvSpPr/>
      </xdr:nvSpPr>
      <xdr:spPr>
        <a:xfrm>
          <a:off x="3906309" y="52324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26</xdr:row>
      <xdr:rowOff>31752</xdr:rowOff>
    </xdr:from>
    <xdr:to>
      <xdr:col>24</xdr:col>
      <xdr:colOff>622584</xdr:colOff>
      <xdr:row>26</xdr:row>
      <xdr:rowOff>175752</xdr:rowOff>
    </xdr:to>
    <xdr:sp macro="" textlink="">
      <xdr:nvSpPr>
        <xdr:cNvPr id="50" name="직사각형 49"/>
        <xdr:cNvSpPr/>
      </xdr:nvSpPr>
      <xdr:spPr>
        <a:xfrm>
          <a:off x="3906309" y="54419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27</xdr:row>
      <xdr:rowOff>31752</xdr:rowOff>
    </xdr:from>
    <xdr:to>
      <xdr:col>24</xdr:col>
      <xdr:colOff>622584</xdr:colOff>
      <xdr:row>27</xdr:row>
      <xdr:rowOff>175752</xdr:rowOff>
    </xdr:to>
    <xdr:sp macro="" textlink="">
      <xdr:nvSpPr>
        <xdr:cNvPr id="51" name="직사각형 50"/>
        <xdr:cNvSpPr/>
      </xdr:nvSpPr>
      <xdr:spPr>
        <a:xfrm>
          <a:off x="3906309" y="5651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28</xdr:row>
      <xdr:rowOff>31752</xdr:rowOff>
    </xdr:from>
    <xdr:to>
      <xdr:col>24</xdr:col>
      <xdr:colOff>622584</xdr:colOff>
      <xdr:row>28</xdr:row>
      <xdr:rowOff>175752</xdr:rowOff>
    </xdr:to>
    <xdr:sp macro="" textlink="">
      <xdr:nvSpPr>
        <xdr:cNvPr id="52" name="직사각형 51"/>
        <xdr:cNvSpPr/>
      </xdr:nvSpPr>
      <xdr:spPr>
        <a:xfrm>
          <a:off x="3906309" y="58610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24</xdr:row>
      <xdr:rowOff>31752</xdr:rowOff>
    </xdr:from>
    <xdr:to>
      <xdr:col>24</xdr:col>
      <xdr:colOff>622584</xdr:colOff>
      <xdr:row>24</xdr:row>
      <xdr:rowOff>175752</xdr:rowOff>
    </xdr:to>
    <xdr:sp macro="" textlink="">
      <xdr:nvSpPr>
        <xdr:cNvPr id="53" name="직사각형 52"/>
        <xdr:cNvSpPr/>
      </xdr:nvSpPr>
      <xdr:spPr>
        <a:xfrm>
          <a:off x="3906309" y="50228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29</xdr:row>
      <xdr:rowOff>31752</xdr:rowOff>
    </xdr:from>
    <xdr:to>
      <xdr:col>24</xdr:col>
      <xdr:colOff>622584</xdr:colOff>
      <xdr:row>29</xdr:row>
      <xdr:rowOff>175752</xdr:rowOff>
    </xdr:to>
    <xdr:sp macro="" textlink="">
      <xdr:nvSpPr>
        <xdr:cNvPr id="54" name="직사각형 53"/>
        <xdr:cNvSpPr/>
      </xdr:nvSpPr>
      <xdr:spPr>
        <a:xfrm>
          <a:off x="3906309" y="60706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30</xdr:row>
      <xdr:rowOff>31752</xdr:rowOff>
    </xdr:from>
    <xdr:to>
      <xdr:col>24</xdr:col>
      <xdr:colOff>622584</xdr:colOff>
      <xdr:row>30</xdr:row>
      <xdr:rowOff>175752</xdr:rowOff>
    </xdr:to>
    <xdr:sp macro="" textlink="">
      <xdr:nvSpPr>
        <xdr:cNvPr id="55" name="직사각형 54"/>
        <xdr:cNvSpPr/>
      </xdr:nvSpPr>
      <xdr:spPr>
        <a:xfrm>
          <a:off x="3906309" y="62801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31</xdr:row>
      <xdr:rowOff>31752</xdr:rowOff>
    </xdr:from>
    <xdr:to>
      <xdr:col>24</xdr:col>
      <xdr:colOff>622584</xdr:colOff>
      <xdr:row>31</xdr:row>
      <xdr:rowOff>175752</xdr:rowOff>
    </xdr:to>
    <xdr:sp macro="" textlink="">
      <xdr:nvSpPr>
        <xdr:cNvPr id="56" name="직사각형 55"/>
        <xdr:cNvSpPr/>
      </xdr:nvSpPr>
      <xdr:spPr>
        <a:xfrm>
          <a:off x="3906309" y="64897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10584</xdr:colOff>
      <xdr:row>32</xdr:row>
      <xdr:rowOff>31752</xdr:rowOff>
    </xdr:from>
    <xdr:to>
      <xdr:col>24</xdr:col>
      <xdr:colOff>622584</xdr:colOff>
      <xdr:row>32</xdr:row>
      <xdr:rowOff>175752</xdr:rowOff>
    </xdr:to>
    <xdr:sp macro="" textlink="">
      <xdr:nvSpPr>
        <xdr:cNvPr id="57" name="직사각형 56"/>
        <xdr:cNvSpPr/>
      </xdr:nvSpPr>
      <xdr:spPr>
        <a:xfrm>
          <a:off x="3906309" y="6699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5</xdr:row>
      <xdr:rowOff>31751</xdr:rowOff>
    </xdr:from>
    <xdr:to>
      <xdr:col>31</xdr:col>
      <xdr:colOff>406583</xdr:colOff>
      <xdr:row>5</xdr:row>
      <xdr:rowOff>175751</xdr:rowOff>
    </xdr:to>
    <xdr:sp macro="" textlink="">
      <xdr:nvSpPr>
        <xdr:cNvPr id="58" name="직사각형 57"/>
        <xdr:cNvSpPr/>
      </xdr:nvSpPr>
      <xdr:spPr>
        <a:xfrm>
          <a:off x="5316008" y="1041401"/>
          <a:ext cx="39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6</xdr:row>
      <xdr:rowOff>31752</xdr:rowOff>
    </xdr:from>
    <xdr:to>
      <xdr:col>31</xdr:col>
      <xdr:colOff>478583</xdr:colOff>
      <xdr:row>6</xdr:row>
      <xdr:rowOff>175752</xdr:rowOff>
    </xdr:to>
    <xdr:sp macro="" textlink="">
      <xdr:nvSpPr>
        <xdr:cNvPr id="59" name="직사각형 58"/>
        <xdr:cNvSpPr/>
      </xdr:nvSpPr>
      <xdr:spPr>
        <a:xfrm>
          <a:off x="5316008" y="1250952"/>
          <a:ext cx="46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7</xdr:row>
      <xdr:rowOff>31751</xdr:rowOff>
    </xdr:from>
    <xdr:to>
      <xdr:col>31</xdr:col>
      <xdr:colOff>550583</xdr:colOff>
      <xdr:row>7</xdr:row>
      <xdr:rowOff>175751</xdr:rowOff>
    </xdr:to>
    <xdr:sp macro="" textlink="">
      <xdr:nvSpPr>
        <xdr:cNvPr id="60" name="직사각형 59"/>
        <xdr:cNvSpPr/>
      </xdr:nvSpPr>
      <xdr:spPr>
        <a:xfrm>
          <a:off x="5316008" y="1460501"/>
          <a:ext cx="54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8</xdr:row>
      <xdr:rowOff>31751</xdr:rowOff>
    </xdr:from>
    <xdr:to>
      <xdr:col>31</xdr:col>
      <xdr:colOff>442583</xdr:colOff>
      <xdr:row>8</xdr:row>
      <xdr:rowOff>175751</xdr:rowOff>
    </xdr:to>
    <xdr:sp macro="" textlink="">
      <xdr:nvSpPr>
        <xdr:cNvPr id="61" name="직사각형 60"/>
        <xdr:cNvSpPr/>
      </xdr:nvSpPr>
      <xdr:spPr>
        <a:xfrm>
          <a:off x="5316008" y="1670051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9</xdr:row>
      <xdr:rowOff>21169</xdr:rowOff>
    </xdr:from>
    <xdr:to>
      <xdr:col>31</xdr:col>
      <xdr:colOff>442583</xdr:colOff>
      <xdr:row>9</xdr:row>
      <xdr:rowOff>165169</xdr:rowOff>
    </xdr:to>
    <xdr:sp macro="" textlink="">
      <xdr:nvSpPr>
        <xdr:cNvPr id="62" name="직사각형 61"/>
        <xdr:cNvSpPr/>
      </xdr:nvSpPr>
      <xdr:spPr>
        <a:xfrm>
          <a:off x="5316008" y="1869019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10</xdr:row>
      <xdr:rowOff>21169</xdr:rowOff>
    </xdr:from>
    <xdr:to>
      <xdr:col>31</xdr:col>
      <xdr:colOff>442583</xdr:colOff>
      <xdr:row>10</xdr:row>
      <xdr:rowOff>165169</xdr:rowOff>
    </xdr:to>
    <xdr:sp macro="" textlink="">
      <xdr:nvSpPr>
        <xdr:cNvPr id="63" name="직사각형 62"/>
        <xdr:cNvSpPr/>
      </xdr:nvSpPr>
      <xdr:spPr>
        <a:xfrm>
          <a:off x="5316008" y="2078569"/>
          <a:ext cx="43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11</xdr:row>
      <xdr:rowOff>21168</xdr:rowOff>
    </xdr:from>
    <xdr:to>
      <xdr:col>32</xdr:col>
      <xdr:colOff>15166</xdr:colOff>
      <xdr:row>11</xdr:row>
      <xdr:rowOff>165168</xdr:rowOff>
    </xdr:to>
    <xdr:sp macro="" textlink="">
      <xdr:nvSpPr>
        <xdr:cNvPr id="64" name="직사각형 63"/>
        <xdr:cNvSpPr/>
      </xdr:nvSpPr>
      <xdr:spPr>
        <a:xfrm>
          <a:off x="5316008" y="2288118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12</xdr:row>
      <xdr:rowOff>21169</xdr:rowOff>
    </xdr:from>
    <xdr:to>
      <xdr:col>31</xdr:col>
      <xdr:colOff>694583</xdr:colOff>
      <xdr:row>12</xdr:row>
      <xdr:rowOff>165169</xdr:rowOff>
    </xdr:to>
    <xdr:sp macro="" textlink="">
      <xdr:nvSpPr>
        <xdr:cNvPr id="65" name="직사각형 64"/>
        <xdr:cNvSpPr/>
      </xdr:nvSpPr>
      <xdr:spPr>
        <a:xfrm>
          <a:off x="5316008" y="2497669"/>
          <a:ext cx="68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13</xdr:row>
      <xdr:rowOff>31752</xdr:rowOff>
    </xdr:from>
    <xdr:to>
      <xdr:col>32</xdr:col>
      <xdr:colOff>15166</xdr:colOff>
      <xdr:row>13</xdr:row>
      <xdr:rowOff>175752</xdr:rowOff>
    </xdr:to>
    <xdr:sp macro="" textlink="">
      <xdr:nvSpPr>
        <xdr:cNvPr id="66" name="직사각형 65"/>
        <xdr:cNvSpPr/>
      </xdr:nvSpPr>
      <xdr:spPr>
        <a:xfrm>
          <a:off x="5316008" y="2717802"/>
          <a:ext cx="757058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14</xdr:row>
      <xdr:rowOff>31752</xdr:rowOff>
    </xdr:from>
    <xdr:to>
      <xdr:col>31</xdr:col>
      <xdr:colOff>514583</xdr:colOff>
      <xdr:row>14</xdr:row>
      <xdr:rowOff>175752</xdr:rowOff>
    </xdr:to>
    <xdr:sp macro="" textlink="">
      <xdr:nvSpPr>
        <xdr:cNvPr id="67" name="직사각형 66"/>
        <xdr:cNvSpPr/>
      </xdr:nvSpPr>
      <xdr:spPr>
        <a:xfrm>
          <a:off x="5316008" y="2927352"/>
          <a:ext cx="50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15</xdr:row>
      <xdr:rowOff>31752</xdr:rowOff>
    </xdr:from>
    <xdr:to>
      <xdr:col>31</xdr:col>
      <xdr:colOff>622583</xdr:colOff>
      <xdr:row>15</xdr:row>
      <xdr:rowOff>175752</xdr:rowOff>
    </xdr:to>
    <xdr:sp macro="" textlink="">
      <xdr:nvSpPr>
        <xdr:cNvPr id="68" name="직사각형 67"/>
        <xdr:cNvSpPr/>
      </xdr:nvSpPr>
      <xdr:spPr>
        <a:xfrm>
          <a:off x="5316008" y="31369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16</xdr:row>
      <xdr:rowOff>31752</xdr:rowOff>
    </xdr:from>
    <xdr:to>
      <xdr:col>31</xdr:col>
      <xdr:colOff>622583</xdr:colOff>
      <xdr:row>16</xdr:row>
      <xdr:rowOff>175752</xdr:rowOff>
    </xdr:to>
    <xdr:sp macro="" textlink="">
      <xdr:nvSpPr>
        <xdr:cNvPr id="69" name="직사각형 68"/>
        <xdr:cNvSpPr/>
      </xdr:nvSpPr>
      <xdr:spPr>
        <a:xfrm>
          <a:off x="5316008" y="33464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17</xdr:row>
      <xdr:rowOff>31751</xdr:rowOff>
    </xdr:from>
    <xdr:to>
      <xdr:col>31</xdr:col>
      <xdr:colOff>622583</xdr:colOff>
      <xdr:row>17</xdr:row>
      <xdr:rowOff>175751</xdr:rowOff>
    </xdr:to>
    <xdr:sp macro="" textlink="">
      <xdr:nvSpPr>
        <xdr:cNvPr id="70" name="직사각형 69"/>
        <xdr:cNvSpPr/>
      </xdr:nvSpPr>
      <xdr:spPr>
        <a:xfrm>
          <a:off x="5316008" y="35560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18</xdr:row>
      <xdr:rowOff>31752</xdr:rowOff>
    </xdr:from>
    <xdr:to>
      <xdr:col>31</xdr:col>
      <xdr:colOff>622583</xdr:colOff>
      <xdr:row>18</xdr:row>
      <xdr:rowOff>175752</xdr:rowOff>
    </xdr:to>
    <xdr:sp macro="" textlink="">
      <xdr:nvSpPr>
        <xdr:cNvPr id="71" name="직사각형 70"/>
        <xdr:cNvSpPr/>
      </xdr:nvSpPr>
      <xdr:spPr>
        <a:xfrm>
          <a:off x="5316008" y="37655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19</xdr:row>
      <xdr:rowOff>31751</xdr:rowOff>
    </xdr:from>
    <xdr:to>
      <xdr:col>31</xdr:col>
      <xdr:colOff>622583</xdr:colOff>
      <xdr:row>19</xdr:row>
      <xdr:rowOff>175751</xdr:rowOff>
    </xdr:to>
    <xdr:sp macro="" textlink="">
      <xdr:nvSpPr>
        <xdr:cNvPr id="72" name="직사각형 71"/>
        <xdr:cNvSpPr/>
      </xdr:nvSpPr>
      <xdr:spPr>
        <a:xfrm>
          <a:off x="5316008" y="39751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20</xdr:row>
      <xdr:rowOff>31751</xdr:rowOff>
    </xdr:from>
    <xdr:to>
      <xdr:col>31</xdr:col>
      <xdr:colOff>622583</xdr:colOff>
      <xdr:row>20</xdr:row>
      <xdr:rowOff>175751</xdr:rowOff>
    </xdr:to>
    <xdr:sp macro="" textlink="">
      <xdr:nvSpPr>
        <xdr:cNvPr id="73" name="직사각형 72"/>
        <xdr:cNvSpPr/>
      </xdr:nvSpPr>
      <xdr:spPr>
        <a:xfrm>
          <a:off x="5316008" y="418465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21</xdr:row>
      <xdr:rowOff>21169</xdr:rowOff>
    </xdr:from>
    <xdr:to>
      <xdr:col>31</xdr:col>
      <xdr:colOff>622583</xdr:colOff>
      <xdr:row>21</xdr:row>
      <xdr:rowOff>165169</xdr:rowOff>
    </xdr:to>
    <xdr:sp macro="" textlink="">
      <xdr:nvSpPr>
        <xdr:cNvPr id="74" name="직사각형 73"/>
        <xdr:cNvSpPr/>
      </xdr:nvSpPr>
      <xdr:spPr>
        <a:xfrm>
          <a:off x="5316008" y="43836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22</xdr:row>
      <xdr:rowOff>21169</xdr:rowOff>
    </xdr:from>
    <xdr:to>
      <xdr:col>31</xdr:col>
      <xdr:colOff>622583</xdr:colOff>
      <xdr:row>22</xdr:row>
      <xdr:rowOff>165169</xdr:rowOff>
    </xdr:to>
    <xdr:sp macro="" textlink="">
      <xdr:nvSpPr>
        <xdr:cNvPr id="75" name="직사각형 74"/>
        <xdr:cNvSpPr/>
      </xdr:nvSpPr>
      <xdr:spPr>
        <a:xfrm>
          <a:off x="5316008" y="4593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23</xdr:row>
      <xdr:rowOff>21168</xdr:rowOff>
    </xdr:from>
    <xdr:to>
      <xdr:col>31</xdr:col>
      <xdr:colOff>622583</xdr:colOff>
      <xdr:row>23</xdr:row>
      <xdr:rowOff>165168</xdr:rowOff>
    </xdr:to>
    <xdr:sp macro="" textlink="">
      <xdr:nvSpPr>
        <xdr:cNvPr id="76" name="직사각형 75"/>
        <xdr:cNvSpPr/>
      </xdr:nvSpPr>
      <xdr:spPr>
        <a:xfrm>
          <a:off x="5316008" y="480271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25</xdr:row>
      <xdr:rowOff>31752</xdr:rowOff>
    </xdr:from>
    <xdr:to>
      <xdr:col>31</xdr:col>
      <xdr:colOff>622583</xdr:colOff>
      <xdr:row>25</xdr:row>
      <xdr:rowOff>175752</xdr:rowOff>
    </xdr:to>
    <xdr:sp macro="" textlink="">
      <xdr:nvSpPr>
        <xdr:cNvPr id="77" name="직사각형 76"/>
        <xdr:cNvSpPr/>
      </xdr:nvSpPr>
      <xdr:spPr>
        <a:xfrm>
          <a:off x="5316008" y="52324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26</xdr:row>
      <xdr:rowOff>31752</xdr:rowOff>
    </xdr:from>
    <xdr:to>
      <xdr:col>31</xdr:col>
      <xdr:colOff>622583</xdr:colOff>
      <xdr:row>26</xdr:row>
      <xdr:rowOff>175752</xdr:rowOff>
    </xdr:to>
    <xdr:sp macro="" textlink="">
      <xdr:nvSpPr>
        <xdr:cNvPr id="78" name="직사각형 77"/>
        <xdr:cNvSpPr/>
      </xdr:nvSpPr>
      <xdr:spPr>
        <a:xfrm>
          <a:off x="5316008" y="54419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27</xdr:row>
      <xdr:rowOff>31752</xdr:rowOff>
    </xdr:from>
    <xdr:to>
      <xdr:col>31</xdr:col>
      <xdr:colOff>622583</xdr:colOff>
      <xdr:row>27</xdr:row>
      <xdr:rowOff>175752</xdr:rowOff>
    </xdr:to>
    <xdr:sp macro="" textlink="">
      <xdr:nvSpPr>
        <xdr:cNvPr id="79" name="직사각형 78"/>
        <xdr:cNvSpPr/>
      </xdr:nvSpPr>
      <xdr:spPr>
        <a:xfrm>
          <a:off x="5316008" y="5651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28</xdr:row>
      <xdr:rowOff>31752</xdr:rowOff>
    </xdr:from>
    <xdr:to>
      <xdr:col>31</xdr:col>
      <xdr:colOff>622583</xdr:colOff>
      <xdr:row>28</xdr:row>
      <xdr:rowOff>175752</xdr:rowOff>
    </xdr:to>
    <xdr:sp macro="" textlink="">
      <xdr:nvSpPr>
        <xdr:cNvPr id="80" name="직사각형 79"/>
        <xdr:cNvSpPr/>
      </xdr:nvSpPr>
      <xdr:spPr>
        <a:xfrm>
          <a:off x="5316008" y="58610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24</xdr:row>
      <xdr:rowOff>31752</xdr:rowOff>
    </xdr:from>
    <xdr:to>
      <xdr:col>31</xdr:col>
      <xdr:colOff>622583</xdr:colOff>
      <xdr:row>24</xdr:row>
      <xdr:rowOff>175752</xdr:rowOff>
    </xdr:to>
    <xdr:sp macro="" textlink="">
      <xdr:nvSpPr>
        <xdr:cNvPr id="81" name="직사각형 80"/>
        <xdr:cNvSpPr/>
      </xdr:nvSpPr>
      <xdr:spPr>
        <a:xfrm>
          <a:off x="5316008" y="50228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29</xdr:row>
      <xdr:rowOff>31752</xdr:rowOff>
    </xdr:from>
    <xdr:to>
      <xdr:col>31</xdr:col>
      <xdr:colOff>622583</xdr:colOff>
      <xdr:row>29</xdr:row>
      <xdr:rowOff>175752</xdr:rowOff>
    </xdr:to>
    <xdr:sp macro="" textlink="">
      <xdr:nvSpPr>
        <xdr:cNvPr id="82" name="직사각형 81"/>
        <xdr:cNvSpPr/>
      </xdr:nvSpPr>
      <xdr:spPr>
        <a:xfrm>
          <a:off x="5316008" y="60706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30</xdr:row>
      <xdr:rowOff>31752</xdr:rowOff>
    </xdr:from>
    <xdr:to>
      <xdr:col>31</xdr:col>
      <xdr:colOff>622583</xdr:colOff>
      <xdr:row>30</xdr:row>
      <xdr:rowOff>175752</xdr:rowOff>
    </xdr:to>
    <xdr:sp macro="" textlink="">
      <xdr:nvSpPr>
        <xdr:cNvPr id="83" name="직사각형 82"/>
        <xdr:cNvSpPr/>
      </xdr:nvSpPr>
      <xdr:spPr>
        <a:xfrm>
          <a:off x="5316008" y="62801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31</xdr:row>
      <xdr:rowOff>31752</xdr:rowOff>
    </xdr:from>
    <xdr:to>
      <xdr:col>31</xdr:col>
      <xdr:colOff>622583</xdr:colOff>
      <xdr:row>31</xdr:row>
      <xdr:rowOff>175752</xdr:rowOff>
    </xdr:to>
    <xdr:sp macro="" textlink="">
      <xdr:nvSpPr>
        <xdr:cNvPr id="84" name="직사각형 83"/>
        <xdr:cNvSpPr/>
      </xdr:nvSpPr>
      <xdr:spPr>
        <a:xfrm>
          <a:off x="5316008" y="64897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10583</xdr:colOff>
      <xdr:row>32</xdr:row>
      <xdr:rowOff>31752</xdr:rowOff>
    </xdr:from>
    <xdr:to>
      <xdr:col>31</xdr:col>
      <xdr:colOff>622583</xdr:colOff>
      <xdr:row>32</xdr:row>
      <xdr:rowOff>175752</xdr:rowOff>
    </xdr:to>
    <xdr:sp macro="" textlink="">
      <xdr:nvSpPr>
        <xdr:cNvPr id="85" name="직사각형 84"/>
        <xdr:cNvSpPr/>
      </xdr:nvSpPr>
      <xdr:spPr>
        <a:xfrm>
          <a:off x="5316008" y="6699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5</xdr:row>
      <xdr:rowOff>31751</xdr:rowOff>
    </xdr:from>
    <xdr:to>
      <xdr:col>36</xdr:col>
      <xdr:colOff>190583</xdr:colOff>
      <xdr:row>5</xdr:row>
      <xdr:rowOff>175751</xdr:rowOff>
    </xdr:to>
    <xdr:sp macro="" textlink="">
      <xdr:nvSpPr>
        <xdr:cNvPr id="86" name="직사각형 85"/>
        <xdr:cNvSpPr/>
      </xdr:nvSpPr>
      <xdr:spPr>
        <a:xfrm>
          <a:off x="6725708" y="1041401"/>
          <a:ext cx="18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6</xdr:row>
      <xdr:rowOff>31752</xdr:rowOff>
    </xdr:from>
    <xdr:to>
      <xdr:col>36</xdr:col>
      <xdr:colOff>46583</xdr:colOff>
      <xdr:row>6</xdr:row>
      <xdr:rowOff>175752</xdr:rowOff>
    </xdr:to>
    <xdr:sp macro="" textlink="">
      <xdr:nvSpPr>
        <xdr:cNvPr id="87" name="직사각형 86"/>
        <xdr:cNvSpPr/>
      </xdr:nvSpPr>
      <xdr:spPr>
        <a:xfrm>
          <a:off x="6725708" y="1250952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7</xdr:row>
      <xdr:rowOff>31751</xdr:rowOff>
    </xdr:from>
    <xdr:to>
      <xdr:col>36</xdr:col>
      <xdr:colOff>82583</xdr:colOff>
      <xdr:row>7</xdr:row>
      <xdr:rowOff>175751</xdr:rowOff>
    </xdr:to>
    <xdr:sp macro="" textlink="">
      <xdr:nvSpPr>
        <xdr:cNvPr id="88" name="직사각형 87"/>
        <xdr:cNvSpPr/>
      </xdr:nvSpPr>
      <xdr:spPr>
        <a:xfrm>
          <a:off x="6725708" y="1460501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8</xdr:row>
      <xdr:rowOff>31751</xdr:rowOff>
    </xdr:from>
    <xdr:to>
      <xdr:col>36</xdr:col>
      <xdr:colOff>46583</xdr:colOff>
      <xdr:row>8</xdr:row>
      <xdr:rowOff>175751</xdr:rowOff>
    </xdr:to>
    <xdr:sp macro="" textlink="">
      <xdr:nvSpPr>
        <xdr:cNvPr id="89" name="직사각형 88"/>
        <xdr:cNvSpPr/>
      </xdr:nvSpPr>
      <xdr:spPr>
        <a:xfrm>
          <a:off x="6725708" y="1670051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9</xdr:row>
      <xdr:rowOff>21169</xdr:rowOff>
    </xdr:from>
    <xdr:to>
      <xdr:col>36</xdr:col>
      <xdr:colOff>46583</xdr:colOff>
      <xdr:row>9</xdr:row>
      <xdr:rowOff>165169</xdr:rowOff>
    </xdr:to>
    <xdr:sp macro="" textlink="">
      <xdr:nvSpPr>
        <xdr:cNvPr id="90" name="직사각형 89"/>
        <xdr:cNvSpPr/>
      </xdr:nvSpPr>
      <xdr:spPr>
        <a:xfrm>
          <a:off x="6725708" y="1869019"/>
          <a:ext cx="36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10</xdr:row>
      <xdr:rowOff>21169</xdr:rowOff>
    </xdr:from>
    <xdr:to>
      <xdr:col>36</xdr:col>
      <xdr:colOff>82583</xdr:colOff>
      <xdr:row>10</xdr:row>
      <xdr:rowOff>165169</xdr:rowOff>
    </xdr:to>
    <xdr:sp macro="" textlink="">
      <xdr:nvSpPr>
        <xdr:cNvPr id="91" name="직사각형 90"/>
        <xdr:cNvSpPr/>
      </xdr:nvSpPr>
      <xdr:spPr>
        <a:xfrm>
          <a:off x="6725708" y="2078569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11</xdr:row>
      <xdr:rowOff>21168</xdr:rowOff>
    </xdr:from>
    <xdr:to>
      <xdr:col>36</xdr:col>
      <xdr:colOff>118583</xdr:colOff>
      <xdr:row>11</xdr:row>
      <xdr:rowOff>165168</xdr:rowOff>
    </xdr:to>
    <xdr:sp macro="" textlink="">
      <xdr:nvSpPr>
        <xdr:cNvPr id="92" name="직사각형 91"/>
        <xdr:cNvSpPr/>
      </xdr:nvSpPr>
      <xdr:spPr>
        <a:xfrm>
          <a:off x="6725708" y="2288118"/>
          <a:ext cx="10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12</xdr:row>
      <xdr:rowOff>21169</xdr:rowOff>
    </xdr:from>
    <xdr:to>
      <xdr:col>36</xdr:col>
      <xdr:colOff>154583</xdr:colOff>
      <xdr:row>12</xdr:row>
      <xdr:rowOff>165169</xdr:rowOff>
    </xdr:to>
    <xdr:sp macro="" textlink="">
      <xdr:nvSpPr>
        <xdr:cNvPr id="93" name="직사각형 92"/>
        <xdr:cNvSpPr/>
      </xdr:nvSpPr>
      <xdr:spPr>
        <a:xfrm>
          <a:off x="6725708" y="2497669"/>
          <a:ext cx="144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13</xdr:row>
      <xdr:rowOff>31752</xdr:rowOff>
    </xdr:from>
    <xdr:to>
      <xdr:col>36</xdr:col>
      <xdr:colOff>82583</xdr:colOff>
      <xdr:row>13</xdr:row>
      <xdr:rowOff>175752</xdr:rowOff>
    </xdr:to>
    <xdr:sp macro="" textlink="">
      <xdr:nvSpPr>
        <xdr:cNvPr id="94" name="직사각형 93"/>
        <xdr:cNvSpPr/>
      </xdr:nvSpPr>
      <xdr:spPr>
        <a:xfrm>
          <a:off x="6725708" y="2717802"/>
          <a:ext cx="7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14</xdr:row>
      <xdr:rowOff>31752</xdr:rowOff>
    </xdr:from>
    <xdr:to>
      <xdr:col>36</xdr:col>
      <xdr:colOff>190583</xdr:colOff>
      <xdr:row>14</xdr:row>
      <xdr:rowOff>175752</xdr:rowOff>
    </xdr:to>
    <xdr:sp macro="" textlink="">
      <xdr:nvSpPr>
        <xdr:cNvPr id="95" name="직사각형 94"/>
        <xdr:cNvSpPr/>
      </xdr:nvSpPr>
      <xdr:spPr>
        <a:xfrm>
          <a:off x="6725708" y="2927352"/>
          <a:ext cx="180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15</xdr:row>
      <xdr:rowOff>31752</xdr:rowOff>
    </xdr:from>
    <xdr:to>
      <xdr:col>36</xdr:col>
      <xdr:colOff>118583</xdr:colOff>
      <xdr:row>15</xdr:row>
      <xdr:rowOff>175752</xdr:rowOff>
    </xdr:to>
    <xdr:sp macro="" textlink="">
      <xdr:nvSpPr>
        <xdr:cNvPr id="96" name="직사각형 95"/>
        <xdr:cNvSpPr/>
      </xdr:nvSpPr>
      <xdr:spPr>
        <a:xfrm>
          <a:off x="6725708" y="3136902"/>
          <a:ext cx="108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16</xdr:row>
      <xdr:rowOff>31752</xdr:rowOff>
    </xdr:from>
    <xdr:to>
      <xdr:col>36</xdr:col>
      <xdr:colOff>622583</xdr:colOff>
      <xdr:row>16</xdr:row>
      <xdr:rowOff>175752</xdr:rowOff>
    </xdr:to>
    <xdr:sp macro="" textlink="">
      <xdr:nvSpPr>
        <xdr:cNvPr id="97" name="직사각형 96"/>
        <xdr:cNvSpPr/>
      </xdr:nvSpPr>
      <xdr:spPr>
        <a:xfrm>
          <a:off x="6725708" y="33464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17</xdr:row>
      <xdr:rowOff>31751</xdr:rowOff>
    </xdr:from>
    <xdr:to>
      <xdr:col>36</xdr:col>
      <xdr:colOff>622583</xdr:colOff>
      <xdr:row>17</xdr:row>
      <xdr:rowOff>175751</xdr:rowOff>
    </xdr:to>
    <xdr:sp macro="" textlink="">
      <xdr:nvSpPr>
        <xdr:cNvPr id="98" name="직사각형 97"/>
        <xdr:cNvSpPr/>
      </xdr:nvSpPr>
      <xdr:spPr>
        <a:xfrm>
          <a:off x="6725708" y="35560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18</xdr:row>
      <xdr:rowOff>31752</xdr:rowOff>
    </xdr:from>
    <xdr:to>
      <xdr:col>36</xdr:col>
      <xdr:colOff>622583</xdr:colOff>
      <xdr:row>18</xdr:row>
      <xdr:rowOff>175752</xdr:rowOff>
    </xdr:to>
    <xdr:sp macro="" textlink="">
      <xdr:nvSpPr>
        <xdr:cNvPr id="99" name="직사각형 98"/>
        <xdr:cNvSpPr/>
      </xdr:nvSpPr>
      <xdr:spPr>
        <a:xfrm>
          <a:off x="6725708" y="37655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19</xdr:row>
      <xdr:rowOff>31751</xdr:rowOff>
    </xdr:from>
    <xdr:to>
      <xdr:col>36</xdr:col>
      <xdr:colOff>622583</xdr:colOff>
      <xdr:row>19</xdr:row>
      <xdr:rowOff>175751</xdr:rowOff>
    </xdr:to>
    <xdr:sp macro="" textlink="">
      <xdr:nvSpPr>
        <xdr:cNvPr id="100" name="직사각형 99"/>
        <xdr:cNvSpPr/>
      </xdr:nvSpPr>
      <xdr:spPr>
        <a:xfrm>
          <a:off x="6725708" y="397510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20</xdr:row>
      <xdr:rowOff>31751</xdr:rowOff>
    </xdr:from>
    <xdr:to>
      <xdr:col>36</xdr:col>
      <xdr:colOff>622583</xdr:colOff>
      <xdr:row>20</xdr:row>
      <xdr:rowOff>175751</xdr:rowOff>
    </xdr:to>
    <xdr:sp macro="" textlink="">
      <xdr:nvSpPr>
        <xdr:cNvPr id="101" name="직사각형 100"/>
        <xdr:cNvSpPr/>
      </xdr:nvSpPr>
      <xdr:spPr>
        <a:xfrm>
          <a:off x="6725708" y="4184651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21</xdr:row>
      <xdr:rowOff>21169</xdr:rowOff>
    </xdr:from>
    <xdr:to>
      <xdr:col>36</xdr:col>
      <xdr:colOff>622583</xdr:colOff>
      <xdr:row>21</xdr:row>
      <xdr:rowOff>165169</xdr:rowOff>
    </xdr:to>
    <xdr:sp macro="" textlink="">
      <xdr:nvSpPr>
        <xdr:cNvPr id="102" name="직사각형 101"/>
        <xdr:cNvSpPr/>
      </xdr:nvSpPr>
      <xdr:spPr>
        <a:xfrm>
          <a:off x="6725708" y="438361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22</xdr:row>
      <xdr:rowOff>21169</xdr:rowOff>
    </xdr:from>
    <xdr:to>
      <xdr:col>36</xdr:col>
      <xdr:colOff>622583</xdr:colOff>
      <xdr:row>22</xdr:row>
      <xdr:rowOff>165169</xdr:rowOff>
    </xdr:to>
    <xdr:sp macro="" textlink="">
      <xdr:nvSpPr>
        <xdr:cNvPr id="103" name="직사각형 102"/>
        <xdr:cNvSpPr/>
      </xdr:nvSpPr>
      <xdr:spPr>
        <a:xfrm>
          <a:off x="6725708" y="4593169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23</xdr:row>
      <xdr:rowOff>21168</xdr:rowOff>
    </xdr:from>
    <xdr:to>
      <xdr:col>36</xdr:col>
      <xdr:colOff>622583</xdr:colOff>
      <xdr:row>23</xdr:row>
      <xdr:rowOff>165168</xdr:rowOff>
    </xdr:to>
    <xdr:sp macro="" textlink="">
      <xdr:nvSpPr>
        <xdr:cNvPr id="104" name="직사각형 103"/>
        <xdr:cNvSpPr/>
      </xdr:nvSpPr>
      <xdr:spPr>
        <a:xfrm>
          <a:off x="6725708" y="4802718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25</xdr:row>
      <xdr:rowOff>31752</xdr:rowOff>
    </xdr:from>
    <xdr:to>
      <xdr:col>36</xdr:col>
      <xdr:colOff>622583</xdr:colOff>
      <xdr:row>25</xdr:row>
      <xdr:rowOff>175752</xdr:rowOff>
    </xdr:to>
    <xdr:sp macro="" textlink="">
      <xdr:nvSpPr>
        <xdr:cNvPr id="105" name="직사각형 104"/>
        <xdr:cNvSpPr/>
      </xdr:nvSpPr>
      <xdr:spPr>
        <a:xfrm>
          <a:off x="6725708" y="52324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26</xdr:row>
      <xdr:rowOff>31752</xdr:rowOff>
    </xdr:from>
    <xdr:to>
      <xdr:col>36</xdr:col>
      <xdr:colOff>622583</xdr:colOff>
      <xdr:row>26</xdr:row>
      <xdr:rowOff>175752</xdr:rowOff>
    </xdr:to>
    <xdr:sp macro="" textlink="">
      <xdr:nvSpPr>
        <xdr:cNvPr id="106" name="직사각형 105"/>
        <xdr:cNvSpPr/>
      </xdr:nvSpPr>
      <xdr:spPr>
        <a:xfrm>
          <a:off x="6725708" y="54419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27</xdr:row>
      <xdr:rowOff>31752</xdr:rowOff>
    </xdr:from>
    <xdr:to>
      <xdr:col>36</xdr:col>
      <xdr:colOff>622583</xdr:colOff>
      <xdr:row>27</xdr:row>
      <xdr:rowOff>175752</xdr:rowOff>
    </xdr:to>
    <xdr:sp macro="" textlink="">
      <xdr:nvSpPr>
        <xdr:cNvPr id="107" name="직사각형 106"/>
        <xdr:cNvSpPr/>
      </xdr:nvSpPr>
      <xdr:spPr>
        <a:xfrm>
          <a:off x="6725708" y="56515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28</xdr:row>
      <xdr:rowOff>31752</xdr:rowOff>
    </xdr:from>
    <xdr:to>
      <xdr:col>36</xdr:col>
      <xdr:colOff>622583</xdr:colOff>
      <xdr:row>28</xdr:row>
      <xdr:rowOff>175752</xdr:rowOff>
    </xdr:to>
    <xdr:sp macro="" textlink="">
      <xdr:nvSpPr>
        <xdr:cNvPr id="108" name="직사각형 107"/>
        <xdr:cNvSpPr/>
      </xdr:nvSpPr>
      <xdr:spPr>
        <a:xfrm>
          <a:off x="6725708" y="58610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24</xdr:row>
      <xdr:rowOff>31752</xdr:rowOff>
    </xdr:from>
    <xdr:to>
      <xdr:col>36</xdr:col>
      <xdr:colOff>622583</xdr:colOff>
      <xdr:row>24</xdr:row>
      <xdr:rowOff>175752</xdr:rowOff>
    </xdr:to>
    <xdr:sp macro="" textlink="">
      <xdr:nvSpPr>
        <xdr:cNvPr id="109" name="직사각형 108"/>
        <xdr:cNvSpPr/>
      </xdr:nvSpPr>
      <xdr:spPr>
        <a:xfrm>
          <a:off x="6725708" y="50228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29</xdr:row>
      <xdr:rowOff>31752</xdr:rowOff>
    </xdr:from>
    <xdr:to>
      <xdr:col>36</xdr:col>
      <xdr:colOff>622583</xdr:colOff>
      <xdr:row>29</xdr:row>
      <xdr:rowOff>175752</xdr:rowOff>
    </xdr:to>
    <xdr:sp macro="" textlink="">
      <xdr:nvSpPr>
        <xdr:cNvPr id="110" name="직사각형 109"/>
        <xdr:cNvSpPr/>
      </xdr:nvSpPr>
      <xdr:spPr>
        <a:xfrm>
          <a:off x="6725708" y="60706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30</xdr:row>
      <xdr:rowOff>31752</xdr:rowOff>
    </xdr:from>
    <xdr:to>
      <xdr:col>36</xdr:col>
      <xdr:colOff>622583</xdr:colOff>
      <xdr:row>30</xdr:row>
      <xdr:rowOff>175752</xdr:rowOff>
    </xdr:to>
    <xdr:sp macro="" textlink="">
      <xdr:nvSpPr>
        <xdr:cNvPr id="111" name="직사각형 110"/>
        <xdr:cNvSpPr/>
      </xdr:nvSpPr>
      <xdr:spPr>
        <a:xfrm>
          <a:off x="6725708" y="62801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31</xdr:row>
      <xdr:rowOff>31752</xdr:rowOff>
    </xdr:from>
    <xdr:to>
      <xdr:col>36</xdr:col>
      <xdr:colOff>622583</xdr:colOff>
      <xdr:row>31</xdr:row>
      <xdr:rowOff>175752</xdr:rowOff>
    </xdr:to>
    <xdr:sp macro="" textlink="">
      <xdr:nvSpPr>
        <xdr:cNvPr id="112" name="직사각형 111"/>
        <xdr:cNvSpPr/>
      </xdr:nvSpPr>
      <xdr:spPr>
        <a:xfrm>
          <a:off x="6725708" y="648970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10583</xdr:colOff>
      <xdr:row>32</xdr:row>
      <xdr:rowOff>31752</xdr:rowOff>
    </xdr:from>
    <xdr:to>
      <xdr:col>36</xdr:col>
      <xdr:colOff>622583</xdr:colOff>
      <xdr:row>32</xdr:row>
      <xdr:rowOff>175752</xdr:rowOff>
    </xdr:to>
    <xdr:sp macro="" textlink="">
      <xdr:nvSpPr>
        <xdr:cNvPr id="113" name="직사각형 112"/>
        <xdr:cNvSpPr/>
      </xdr:nvSpPr>
      <xdr:spPr>
        <a:xfrm>
          <a:off x="6725708" y="6699252"/>
          <a:ext cx="612000" cy="144000"/>
        </a:xfrm>
        <a:prstGeom prst="rect">
          <a:avLst/>
        </a:prstGeom>
        <a:solidFill>
          <a:srgbClr val="00B05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</xdr:row>
      <xdr:rowOff>115356</xdr:rowOff>
    </xdr:from>
    <xdr:to>
      <xdr:col>21</xdr:col>
      <xdr:colOff>201083</xdr:colOff>
      <xdr:row>34</xdr:row>
      <xdr:rowOff>169334</xdr:rowOff>
    </xdr:to>
    <xdr:graphicFrame macro="">
      <xdr:nvGraphicFramePr>
        <xdr:cNvPr id="114" name="차트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559175</xdr:colOff>
      <xdr:row>42</xdr:row>
      <xdr:rowOff>47608</xdr:rowOff>
    </xdr:from>
    <xdr:to>
      <xdr:col>16</xdr:col>
      <xdr:colOff>518354</xdr:colOff>
      <xdr:row>42</xdr:row>
      <xdr:rowOff>47608</xdr:rowOff>
    </xdr:to>
    <xdr:cxnSp macro="">
      <xdr:nvCxnSpPr>
        <xdr:cNvPr id="2" name="직선 연결선 1"/>
        <xdr:cNvCxnSpPr/>
      </xdr:nvCxnSpPr>
      <xdr:spPr>
        <a:xfrm rot="5400000" flipV="1">
          <a:off x="5691790" y="5916368"/>
          <a:ext cx="0" cy="9198429"/>
        </a:xfrm>
        <a:prstGeom prst="line">
          <a:avLst/>
        </a:prstGeom>
        <a:ln w="12700">
          <a:solidFill>
            <a:schemeClr val="tx1">
              <a:lumMod val="50000"/>
              <a:lumOff val="50000"/>
            </a:schemeClr>
          </a:solidFill>
          <a:prstDash val="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580218</xdr:colOff>
      <xdr:row>33</xdr:row>
      <xdr:rowOff>144987</xdr:rowOff>
    </xdr:from>
    <xdr:to>
      <xdr:col>4</xdr:col>
      <xdr:colOff>583161</xdr:colOff>
      <xdr:row>37</xdr:row>
      <xdr:rowOff>12558</xdr:rowOff>
    </xdr:to>
    <xdr:sp macro="" textlink="">
      <xdr:nvSpPr>
        <xdr:cNvPr id="3" name="TextBox 52"/>
        <xdr:cNvSpPr txBox="1"/>
      </xdr:nvSpPr>
      <xdr:spPr>
        <a:xfrm>
          <a:off x="1113618" y="8727012"/>
          <a:ext cx="1317393" cy="705771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Initial RTL</a:t>
          </a:r>
          <a:br>
            <a:rPr lang="en-US" altLang="ko-KR" sz="1100" b="1" kern="0">
              <a:latin typeface="+mn-ea"/>
              <a:ea typeface="+mn-ea"/>
            </a:rPr>
          </a:br>
          <a:r>
            <a:rPr lang="en-US" altLang="ko-KR" sz="1100" b="1" kern="0">
              <a:latin typeface="+mn-ea"/>
              <a:ea typeface="+mn-ea"/>
            </a:rPr>
            <a:t>Release</a:t>
          </a:r>
        </a:p>
      </xdr:txBody>
    </xdr:sp>
    <xdr:clientData/>
  </xdr:twoCellAnchor>
  <xdr:twoCellAnchor>
    <xdr:from>
      <xdr:col>1</xdr:col>
      <xdr:colOff>343272</xdr:colOff>
      <xdr:row>30</xdr:row>
      <xdr:rowOff>157683</xdr:rowOff>
    </xdr:from>
    <xdr:to>
      <xdr:col>4</xdr:col>
      <xdr:colOff>319992</xdr:colOff>
      <xdr:row>32</xdr:row>
      <xdr:rowOff>145469</xdr:rowOff>
    </xdr:to>
    <xdr:sp macro="" textlink="">
      <xdr:nvSpPr>
        <xdr:cNvPr id="4" name="TextBox 49"/>
        <xdr:cNvSpPr txBox="1"/>
      </xdr:nvSpPr>
      <xdr:spPr>
        <a:xfrm>
          <a:off x="495672" y="8111058"/>
          <a:ext cx="1672170" cy="40688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200" b="1" kern="0">
              <a:latin typeface="+mn-ea"/>
              <a:ea typeface="+mn-ea"/>
            </a:rPr>
            <a:t>RTL Design</a:t>
          </a:r>
        </a:p>
      </xdr:txBody>
    </xdr:sp>
    <xdr:clientData/>
  </xdr:twoCellAnchor>
  <xdr:twoCellAnchor>
    <xdr:from>
      <xdr:col>1</xdr:col>
      <xdr:colOff>343272</xdr:colOff>
      <xdr:row>44</xdr:row>
      <xdr:rowOff>184897</xdr:rowOff>
    </xdr:from>
    <xdr:to>
      <xdr:col>4</xdr:col>
      <xdr:colOff>308933</xdr:colOff>
      <xdr:row>46</xdr:row>
      <xdr:rowOff>172683</xdr:rowOff>
    </xdr:to>
    <xdr:sp macro="" textlink="">
      <xdr:nvSpPr>
        <xdr:cNvPr id="5" name="TextBox 50"/>
        <xdr:cNvSpPr txBox="1"/>
      </xdr:nvSpPr>
      <xdr:spPr>
        <a:xfrm>
          <a:off x="495672" y="11071972"/>
          <a:ext cx="1661111" cy="40688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200" b="1" kern="0">
              <a:latin typeface="+mn-ea"/>
              <a:ea typeface="+mn-ea"/>
            </a:rPr>
            <a:t>Design Verification</a:t>
          </a:r>
        </a:p>
      </xdr:txBody>
    </xdr:sp>
    <xdr:clientData/>
  </xdr:twoCellAnchor>
  <xdr:twoCellAnchor>
    <xdr:from>
      <xdr:col>13</xdr:col>
      <xdr:colOff>489859</xdr:colOff>
      <xdr:row>45</xdr:row>
      <xdr:rowOff>13101</xdr:rowOff>
    </xdr:from>
    <xdr:to>
      <xdr:col>16</xdr:col>
      <xdr:colOff>626786</xdr:colOff>
      <xdr:row>47</xdr:row>
      <xdr:rowOff>136072</xdr:rowOff>
    </xdr:to>
    <xdr:sp macro="" textlink="">
      <xdr:nvSpPr>
        <xdr:cNvPr id="6" name="TextBox 72"/>
        <xdr:cNvSpPr txBox="1"/>
      </xdr:nvSpPr>
      <xdr:spPr>
        <a:xfrm>
          <a:off x="8290834" y="11109726"/>
          <a:ext cx="2108602" cy="542071"/>
        </a:xfrm>
        <a:prstGeom prst="ellipse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lnSpc>
              <a:spcPct val="90000"/>
            </a:lnSpc>
            <a:defRPr/>
          </a:pPr>
          <a:r>
            <a:rPr lang="en-US" altLang="ko-KR" sz="1100" b="1" kern="0">
              <a:solidFill>
                <a:schemeClr val="bg1"/>
              </a:solidFill>
              <a:latin typeface="+mn-ea"/>
              <a:ea typeface="+mn-ea"/>
            </a:rPr>
            <a:t>Design</a:t>
          </a:r>
          <a:r>
            <a:rPr lang="en-US" altLang="ko-KR" sz="1100" b="1" kern="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100" b="1" kern="0">
              <a:solidFill>
                <a:schemeClr val="bg1"/>
              </a:solidFill>
              <a:latin typeface="+mn-ea"/>
              <a:ea typeface="+mn-ea"/>
            </a:rPr>
            <a:t>Verification</a:t>
          </a:r>
          <a:br>
            <a:rPr lang="en-US" altLang="ko-KR" sz="1100" b="1" kern="0">
              <a:solidFill>
                <a:schemeClr val="bg1"/>
              </a:solidFill>
              <a:latin typeface="+mn-ea"/>
              <a:ea typeface="+mn-ea"/>
            </a:rPr>
          </a:br>
          <a:r>
            <a:rPr lang="en-US" altLang="ko-KR" sz="1100" b="1" kern="0">
              <a:solidFill>
                <a:schemeClr val="bg1"/>
              </a:solidFill>
              <a:latin typeface="+mn-ea"/>
              <a:ea typeface="+mn-ea"/>
            </a:rPr>
            <a:t>Checklist</a:t>
          </a:r>
        </a:p>
      </xdr:txBody>
    </xdr:sp>
    <xdr:clientData/>
  </xdr:twoCellAnchor>
  <xdr:twoCellAnchor>
    <xdr:from>
      <xdr:col>4</xdr:col>
      <xdr:colOff>583161</xdr:colOff>
      <xdr:row>35</xdr:row>
      <xdr:rowOff>78772</xdr:rowOff>
    </xdr:from>
    <xdr:to>
      <xdr:col>5</xdr:col>
      <xdr:colOff>145569</xdr:colOff>
      <xdr:row>41</xdr:row>
      <xdr:rowOff>4654</xdr:rowOff>
    </xdr:to>
    <xdr:cxnSp macro="">
      <xdr:nvCxnSpPr>
        <xdr:cNvPr id="7" name="Shape 101"/>
        <xdr:cNvCxnSpPr>
          <a:stCxn id="3" idx="3"/>
          <a:endCxn id="15" idx="0"/>
        </xdr:cNvCxnSpPr>
      </xdr:nvCxnSpPr>
      <xdr:spPr>
        <a:xfrm>
          <a:off x="2431011" y="9079897"/>
          <a:ext cx="219633" cy="118318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81643</xdr:colOff>
      <xdr:row>48</xdr:row>
      <xdr:rowOff>179384</xdr:rowOff>
    </xdr:from>
    <xdr:to>
      <xdr:col>16</xdr:col>
      <xdr:colOff>490504</xdr:colOff>
      <xdr:row>49</xdr:row>
      <xdr:rowOff>192578</xdr:rowOff>
    </xdr:to>
    <xdr:sp macro="" textlink="">
      <xdr:nvSpPr>
        <xdr:cNvPr id="8" name="TextBox 102"/>
        <xdr:cNvSpPr txBox="1"/>
      </xdr:nvSpPr>
      <xdr:spPr>
        <a:xfrm>
          <a:off x="9197068" y="11904659"/>
          <a:ext cx="1066086" cy="222744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txBody>
        <a:bodyPr wrap="square" lIns="0" tIns="0" rIns="0" bIns="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lnSpc>
              <a:spcPct val="90000"/>
            </a:lnSpc>
            <a:defRPr/>
          </a:pPr>
          <a:r>
            <a:rPr lang="en-US" altLang="ko-KR" sz="1100" b="1" kern="0">
              <a:latin typeface="+mn-ea"/>
              <a:ea typeface="+mn-ea"/>
            </a:rPr>
            <a:t>Deliverable</a:t>
          </a:r>
        </a:p>
      </xdr:txBody>
    </xdr:sp>
    <xdr:clientData/>
  </xdr:twoCellAnchor>
  <xdr:twoCellAnchor>
    <xdr:from>
      <xdr:col>15</xdr:col>
      <xdr:colOff>130412</xdr:colOff>
      <xdr:row>50</xdr:row>
      <xdr:rowOff>146980</xdr:rowOff>
    </xdr:from>
    <xdr:to>
      <xdr:col>16</xdr:col>
      <xdr:colOff>441734</xdr:colOff>
      <xdr:row>51</xdr:row>
      <xdr:rowOff>160174</xdr:rowOff>
    </xdr:to>
    <xdr:sp macro="" textlink="">
      <xdr:nvSpPr>
        <xdr:cNvPr id="9" name="TextBox 103"/>
        <xdr:cNvSpPr txBox="1"/>
      </xdr:nvSpPr>
      <xdr:spPr>
        <a:xfrm>
          <a:off x="9245837" y="12291355"/>
          <a:ext cx="968547" cy="222744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lIns="0" tIns="0" rIns="0" bIns="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Work</a:t>
          </a:r>
        </a:p>
      </xdr:txBody>
    </xdr:sp>
    <xdr:clientData/>
  </xdr:twoCellAnchor>
  <xdr:twoCellAnchor>
    <xdr:from>
      <xdr:col>14</xdr:col>
      <xdr:colOff>598418</xdr:colOff>
      <xdr:row>33</xdr:row>
      <xdr:rowOff>169896</xdr:rowOff>
    </xdr:from>
    <xdr:to>
      <xdr:col>16</xdr:col>
      <xdr:colOff>585624</xdr:colOff>
      <xdr:row>36</xdr:row>
      <xdr:rowOff>191756</xdr:rowOff>
    </xdr:to>
    <xdr:sp macro="" textlink="">
      <xdr:nvSpPr>
        <xdr:cNvPr id="10" name="순서도: 판단 9"/>
        <xdr:cNvSpPr/>
      </xdr:nvSpPr>
      <xdr:spPr>
        <a:xfrm>
          <a:off x="9056618" y="8751921"/>
          <a:ext cx="1301656" cy="650510"/>
        </a:xfrm>
        <a:prstGeom prst="flowChartDecision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>
              <a:solidFill>
                <a:schemeClr val="tx1"/>
              </a:solidFill>
              <a:latin typeface="+mn-ea"/>
              <a:ea typeface="+mn-ea"/>
              <a:cs typeface="Arial" pitchFamily="34" charset="0"/>
            </a:rPr>
            <a:t>Design Review</a:t>
          </a:r>
          <a:endParaRPr lang="ko-KR" altLang="en-US" sz="1100" b="1">
            <a:solidFill>
              <a:schemeClr val="tx1"/>
            </a:solidFill>
            <a:latin typeface="+mn-ea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5</xdr:col>
      <xdr:colOff>145569</xdr:colOff>
      <xdr:row>43</xdr:row>
      <xdr:rowOff>74466</xdr:rowOff>
    </xdr:from>
    <xdr:to>
      <xdr:col>13</xdr:col>
      <xdr:colOff>489859</xdr:colOff>
      <xdr:row>46</xdr:row>
      <xdr:rowOff>74587</xdr:rowOff>
    </xdr:to>
    <xdr:cxnSp macro="">
      <xdr:nvCxnSpPr>
        <xdr:cNvPr id="11" name="Shape 101"/>
        <xdr:cNvCxnSpPr>
          <a:stCxn id="15" idx="2"/>
          <a:endCxn id="6" idx="2"/>
        </xdr:cNvCxnSpPr>
      </xdr:nvCxnSpPr>
      <xdr:spPr>
        <a:xfrm rot="16200000" flipH="1">
          <a:off x="5156353" y="8246282"/>
          <a:ext cx="628771" cy="5640190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361120</xdr:colOff>
      <xdr:row>33</xdr:row>
      <xdr:rowOff>144987</xdr:rowOff>
    </xdr:from>
    <xdr:to>
      <xdr:col>7</xdr:col>
      <xdr:colOff>323241</xdr:colOff>
      <xdr:row>37</xdr:row>
      <xdr:rowOff>12558</xdr:rowOff>
    </xdr:to>
    <xdr:sp macro="" textlink="">
      <xdr:nvSpPr>
        <xdr:cNvPr id="12" name="TextBox 52"/>
        <xdr:cNvSpPr txBox="1"/>
      </xdr:nvSpPr>
      <xdr:spPr>
        <a:xfrm>
          <a:off x="2866195" y="8727012"/>
          <a:ext cx="1314671" cy="705771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Complete RTL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Cadidate Release</a:t>
          </a:r>
        </a:p>
      </xdr:txBody>
    </xdr:sp>
    <xdr:clientData/>
  </xdr:twoCellAnchor>
  <xdr:twoCellAnchor>
    <xdr:from>
      <xdr:col>8</xdr:col>
      <xdr:colOff>101200</xdr:colOff>
      <xdr:row>33</xdr:row>
      <xdr:rowOff>144987</xdr:rowOff>
    </xdr:from>
    <xdr:to>
      <xdr:col>10</xdr:col>
      <xdr:colOff>104142</xdr:colOff>
      <xdr:row>37</xdr:row>
      <xdr:rowOff>12558</xdr:rowOff>
    </xdr:to>
    <xdr:sp macro="" textlink="">
      <xdr:nvSpPr>
        <xdr:cNvPr id="13" name="TextBox 52"/>
        <xdr:cNvSpPr txBox="1"/>
      </xdr:nvSpPr>
      <xdr:spPr>
        <a:xfrm>
          <a:off x="4616050" y="8727012"/>
          <a:ext cx="1317392" cy="705771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Stable RTL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Cadidate Release</a:t>
          </a:r>
        </a:p>
      </xdr:txBody>
    </xdr:sp>
    <xdr:clientData/>
  </xdr:twoCellAnchor>
  <xdr:twoCellAnchor>
    <xdr:from>
      <xdr:col>10</xdr:col>
      <xdr:colOff>535244</xdr:colOff>
      <xdr:row>33</xdr:row>
      <xdr:rowOff>144987</xdr:rowOff>
    </xdr:from>
    <xdr:to>
      <xdr:col>12</xdr:col>
      <xdr:colOff>538186</xdr:colOff>
      <xdr:row>37</xdr:row>
      <xdr:rowOff>12558</xdr:rowOff>
    </xdr:to>
    <xdr:sp macro="" textlink="">
      <xdr:nvSpPr>
        <xdr:cNvPr id="14" name="TextBox 52"/>
        <xdr:cNvSpPr txBox="1"/>
      </xdr:nvSpPr>
      <xdr:spPr>
        <a:xfrm>
          <a:off x="6364544" y="8727012"/>
          <a:ext cx="1317392" cy="705771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RTL Freeze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Cadidate Release</a:t>
          </a:r>
        </a:p>
      </xdr:txBody>
    </xdr:sp>
    <xdr:clientData/>
  </xdr:twoCellAnchor>
  <xdr:twoCellAnchor>
    <xdr:from>
      <xdr:col>4</xdr:col>
      <xdr:colOff>69265</xdr:colOff>
      <xdr:row>41</xdr:row>
      <xdr:rowOff>4654</xdr:rowOff>
    </xdr:from>
    <xdr:to>
      <xdr:col>6</xdr:col>
      <xdr:colOff>221873</xdr:colOff>
      <xdr:row>43</xdr:row>
      <xdr:rowOff>74466</xdr:rowOff>
    </xdr:to>
    <xdr:sp macro="" textlink="">
      <xdr:nvSpPr>
        <xdr:cNvPr id="15" name="TextBox 52"/>
        <xdr:cNvSpPr txBox="1"/>
      </xdr:nvSpPr>
      <xdr:spPr>
        <a:xfrm>
          <a:off x="1917115" y="10263079"/>
          <a:ext cx="1467058" cy="488912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Design</a:t>
          </a:r>
          <a:r>
            <a:rPr lang="en-US" altLang="ko-KR" sz="1100" b="1" kern="0" baseline="0">
              <a:latin typeface="+mn-ea"/>
              <a:ea typeface="+mn-ea"/>
            </a:rPr>
            <a:t> Verification</a:t>
          </a:r>
        </a:p>
        <a:p>
          <a:pPr lvl="0" algn="ctr" latinLnBrk="0">
            <a:defRPr/>
          </a:pPr>
          <a:r>
            <a:rPr lang="en-US" altLang="ko-KR" sz="1100" b="1" kern="0" baseline="0">
              <a:latin typeface="+mn-ea"/>
              <a:ea typeface="+mn-ea"/>
            </a:rPr>
            <a:t>by Simulation</a:t>
          </a:r>
          <a:endParaRPr lang="en-US" altLang="ko-KR" sz="1100" b="1" kern="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503309</xdr:colOff>
      <xdr:row>41</xdr:row>
      <xdr:rowOff>4654</xdr:rowOff>
    </xdr:from>
    <xdr:to>
      <xdr:col>8</xdr:col>
      <xdr:colOff>615096</xdr:colOff>
      <xdr:row>43</xdr:row>
      <xdr:rowOff>74466</xdr:rowOff>
    </xdr:to>
    <xdr:sp macro="" textlink="">
      <xdr:nvSpPr>
        <xdr:cNvPr id="16" name="TextBox 52"/>
        <xdr:cNvSpPr txBox="1"/>
      </xdr:nvSpPr>
      <xdr:spPr>
        <a:xfrm>
          <a:off x="3665609" y="10263079"/>
          <a:ext cx="1464337" cy="488912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Design Verification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by Simulation</a:t>
          </a:r>
        </a:p>
      </xdr:txBody>
    </xdr:sp>
    <xdr:clientData/>
  </xdr:twoCellAnchor>
  <xdr:twoCellAnchor>
    <xdr:from>
      <xdr:col>9</xdr:col>
      <xdr:colOff>243389</xdr:colOff>
      <xdr:row>41</xdr:row>
      <xdr:rowOff>4654</xdr:rowOff>
    </xdr:from>
    <xdr:to>
      <xdr:col>11</xdr:col>
      <xdr:colOff>395997</xdr:colOff>
      <xdr:row>43</xdr:row>
      <xdr:rowOff>74466</xdr:rowOff>
    </xdr:to>
    <xdr:sp macro="" textlink="">
      <xdr:nvSpPr>
        <xdr:cNvPr id="17" name="TextBox 16"/>
        <xdr:cNvSpPr txBox="1"/>
      </xdr:nvSpPr>
      <xdr:spPr>
        <a:xfrm>
          <a:off x="5415464" y="10263079"/>
          <a:ext cx="1467058" cy="488912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Design Verification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by Simulation</a:t>
          </a:r>
        </a:p>
      </xdr:txBody>
    </xdr:sp>
    <xdr:clientData/>
  </xdr:twoCellAnchor>
  <xdr:twoCellAnchor>
    <xdr:from>
      <xdr:col>12</xdr:col>
      <xdr:colOff>24288</xdr:colOff>
      <xdr:row>41</xdr:row>
      <xdr:rowOff>4654</xdr:rowOff>
    </xdr:from>
    <xdr:to>
      <xdr:col>14</xdr:col>
      <xdr:colOff>176897</xdr:colOff>
      <xdr:row>43</xdr:row>
      <xdr:rowOff>74466</xdr:rowOff>
    </xdr:to>
    <xdr:sp macro="" textlink="">
      <xdr:nvSpPr>
        <xdr:cNvPr id="18" name="TextBox 17"/>
        <xdr:cNvSpPr txBox="1"/>
      </xdr:nvSpPr>
      <xdr:spPr>
        <a:xfrm>
          <a:off x="7168038" y="10263079"/>
          <a:ext cx="1467059" cy="488912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Design Verification</a:t>
          </a:r>
        </a:p>
        <a:p>
          <a:pPr lvl="0" algn="ctr" latinLnBrk="0">
            <a:defRPr/>
          </a:pPr>
          <a:r>
            <a:rPr lang="en-US" altLang="ko-KR" sz="1100" b="1" kern="0">
              <a:latin typeface="+mn-ea"/>
              <a:ea typeface="+mn-ea"/>
            </a:rPr>
            <a:t>by Simulation</a:t>
          </a:r>
        </a:p>
      </xdr:txBody>
    </xdr:sp>
    <xdr:clientData/>
  </xdr:twoCellAnchor>
  <xdr:twoCellAnchor>
    <xdr:from>
      <xdr:col>6</xdr:col>
      <xdr:colOff>221873</xdr:colOff>
      <xdr:row>37</xdr:row>
      <xdr:rowOff>12558</xdr:rowOff>
    </xdr:from>
    <xdr:to>
      <xdr:col>6</xdr:col>
      <xdr:colOff>362591</xdr:colOff>
      <xdr:row>42</xdr:row>
      <xdr:rowOff>39560</xdr:rowOff>
    </xdr:to>
    <xdr:cxnSp macro="">
      <xdr:nvCxnSpPr>
        <xdr:cNvPr id="19" name="Shape 101"/>
        <xdr:cNvCxnSpPr>
          <a:stCxn id="15" idx="3"/>
          <a:endCxn id="12" idx="2"/>
        </xdr:cNvCxnSpPr>
      </xdr:nvCxnSpPr>
      <xdr:spPr>
        <a:xfrm flipV="1">
          <a:off x="3384173" y="9432783"/>
          <a:ext cx="140718" cy="107475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323241</xdr:colOff>
      <xdr:row>35</xdr:row>
      <xdr:rowOff>78772</xdr:rowOff>
    </xdr:from>
    <xdr:to>
      <xdr:col>7</xdr:col>
      <xdr:colOff>538792</xdr:colOff>
      <xdr:row>41</xdr:row>
      <xdr:rowOff>4654</xdr:rowOff>
    </xdr:to>
    <xdr:cxnSp macro="">
      <xdr:nvCxnSpPr>
        <xdr:cNvPr id="20" name="Shape 101"/>
        <xdr:cNvCxnSpPr>
          <a:stCxn id="12" idx="3"/>
          <a:endCxn id="16" idx="0"/>
        </xdr:cNvCxnSpPr>
      </xdr:nvCxnSpPr>
      <xdr:spPr>
        <a:xfrm>
          <a:off x="4180866" y="9079897"/>
          <a:ext cx="215551" cy="118318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615096</xdr:colOff>
      <xdr:row>37</xdr:row>
      <xdr:rowOff>12558</xdr:rowOff>
    </xdr:from>
    <xdr:to>
      <xdr:col>9</xdr:col>
      <xdr:colOff>102671</xdr:colOff>
      <xdr:row>42</xdr:row>
      <xdr:rowOff>39560</xdr:rowOff>
    </xdr:to>
    <xdr:cxnSp macro="">
      <xdr:nvCxnSpPr>
        <xdr:cNvPr id="21" name="Shape 101"/>
        <xdr:cNvCxnSpPr>
          <a:stCxn id="16" idx="3"/>
          <a:endCxn id="13" idx="2"/>
        </xdr:cNvCxnSpPr>
      </xdr:nvCxnSpPr>
      <xdr:spPr>
        <a:xfrm flipV="1">
          <a:off x="5129946" y="9432783"/>
          <a:ext cx="144800" cy="107475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395997</xdr:colOff>
      <xdr:row>37</xdr:row>
      <xdr:rowOff>12558</xdr:rowOff>
    </xdr:from>
    <xdr:to>
      <xdr:col>11</xdr:col>
      <xdr:colOff>536715</xdr:colOff>
      <xdr:row>42</xdr:row>
      <xdr:rowOff>39560</xdr:rowOff>
    </xdr:to>
    <xdr:cxnSp macro="">
      <xdr:nvCxnSpPr>
        <xdr:cNvPr id="22" name="Shape 101"/>
        <xdr:cNvCxnSpPr>
          <a:stCxn id="17" idx="3"/>
          <a:endCxn id="14" idx="2"/>
        </xdr:cNvCxnSpPr>
      </xdr:nvCxnSpPr>
      <xdr:spPr>
        <a:xfrm flipV="1">
          <a:off x="6882522" y="9432783"/>
          <a:ext cx="140718" cy="107475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104142</xdr:colOff>
      <xdr:row>35</xdr:row>
      <xdr:rowOff>78772</xdr:rowOff>
    </xdr:from>
    <xdr:to>
      <xdr:col>10</xdr:col>
      <xdr:colOff>319693</xdr:colOff>
      <xdr:row>41</xdr:row>
      <xdr:rowOff>4654</xdr:rowOff>
    </xdr:to>
    <xdr:cxnSp macro="">
      <xdr:nvCxnSpPr>
        <xdr:cNvPr id="23" name="Shape 101"/>
        <xdr:cNvCxnSpPr>
          <a:stCxn id="13" idx="3"/>
          <a:endCxn id="17" idx="0"/>
        </xdr:cNvCxnSpPr>
      </xdr:nvCxnSpPr>
      <xdr:spPr>
        <a:xfrm>
          <a:off x="5933442" y="9079897"/>
          <a:ext cx="215551" cy="118318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538186</xdr:colOff>
      <xdr:row>35</xdr:row>
      <xdr:rowOff>78772</xdr:rowOff>
    </xdr:from>
    <xdr:to>
      <xdr:col>13</xdr:col>
      <xdr:colOff>100593</xdr:colOff>
      <xdr:row>41</xdr:row>
      <xdr:rowOff>4654</xdr:rowOff>
    </xdr:to>
    <xdr:cxnSp macro="">
      <xdr:nvCxnSpPr>
        <xdr:cNvPr id="24" name="Shape 101"/>
        <xdr:cNvCxnSpPr>
          <a:stCxn id="14" idx="3"/>
          <a:endCxn id="18" idx="0"/>
        </xdr:cNvCxnSpPr>
      </xdr:nvCxnSpPr>
      <xdr:spPr>
        <a:xfrm>
          <a:off x="7681936" y="9079897"/>
          <a:ext cx="219632" cy="1183182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176897</xdr:colOff>
      <xdr:row>35</xdr:row>
      <xdr:rowOff>78772</xdr:rowOff>
    </xdr:from>
    <xdr:to>
      <xdr:col>14</xdr:col>
      <xdr:colOff>598418</xdr:colOff>
      <xdr:row>42</xdr:row>
      <xdr:rowOff>39560</xdr:rowOff>
    </xdr:to>
    <xdr:cxnSp macro="">
      <xdr:nvCxnSpPr>
        <xdr:cNvPr id="25" name="Shape 101"/>
        <xdr:cNvCxnSpPr>
          <a:stCxn id="18" idx="3"/>
          <a:endCxn id="10" idx="1"/>
        </xdr:cNvCxnSpPr>
      </xdr:nvCxnSpPr>
      <xdr:spPr>
        <a:xfrm flipV="1">
          <a:off x="8635097" y="9079897"/>
          <a:ext cx="421521" cy="1427638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538792</xdr:colOff>
      <xdr:row>43</xdr:row>
      <xdr:rowOff>74466</xdr:rowOff>
    </xdr:from>
    <xdr:to>
      <xdr:col>13</xdr:col>
      <xdr:colOff>489859</xdr:colOff>
      <xdr:row>46</xdr:row>
      <xdr:rowOff>74587</xdr:rowOff>
    </xdr:to>
    <xdr:cxnSp macro="">
      <xdr:nvCxnSpPr>
        <xdr:cNvPr id="26" name="Shape 101"/>
        <xdr:cNvCxnSpPr>
          <a:stCxn id="16" idx="2"/>
          <a:endCxn id="6" idx="2"/>
        </xdr:cNvCxnSpPr>
      </xdr:nvCxnSpPr>
      <xdr:spPr>
        <a:xfrm rot="16200000" flipH="1">
          <a:off x="6029240" y="9119168"/>
          <a:ext cx="628771" cy="3894417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319693</xdr:colOff>
      <xdr:row>43</xdr:row>
      <xdr:rowOff>74466</xdr:rowOff>
    </xdr:from>
    <xdr:to>
      <xdr:col>13</xdr:col>
      <xdr:colOff>489859</xdr:colOff>
      <xdr:row>46</xdr:row>
      <xdr:rowOff>74587</xdr:rowOff>
    </xdr:to>
    <xdr:cxnSp macro="">
      <xdr:nvCxnSpPr>
        <xdr:cNvPr id="27" name="Shape 101"/>
        <xdr:cNvCxnSpPr>
          <a:stCxn id="17" idx="2"/>
          <a:endCxn id="6" idx="2"/>
        </xdr:cNvCxnSpPr>
      </xdr:nvCxnSpPr>
      <xdr:spPr>
        <a:xfrm rot="16200000" flipH="1">
          <a:off x="6905528" y="9995456"/>
          <a:ext cx="628771" cy="2141841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100593</xdr:colOff>
      <xdr:row>43</xdr:row>
      <xdr:rowOff>74466</xdr:rowOff>
    </xdr:from>
    <xdr:to>
      <xdr:col>13</xdr:col>
      <xdr:colOff>489859</xdr:colOff>
      <xdr:row>46</xdr:row>
      <xdr:rowOff>74587</xdr:rowOff>
    </xdr:to>
    <xdr:cxnSp macro="">
      <xdr:nvCxnSpPr>
        <xdr:cNvPr id="28" name="Shape 101"/>
        <xdr:cNvCxnSpPr>
          <a:stCxn id="18" idx="2"/>
          <a:endCxn id="6" idx="2"/>
        </xdr:cNvCxnSpPr>
      </xdr:nvCxnSpPr>
      <xdr:spPr>
        <a:xfrm rot="16200000" flipH="1">
          <a:off x="7781815" y="10871744"/>
          <a:ext cx="628771" cy="389266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73027</xdr:rowOff>
    </xdr:from>
    <xdr:to>
      <xdr:col>21</xdr:col>
      <xdr:colOff>0</xdr:colOff>
      <xdr:row>55</xdr:row>
      <xdr:rowOff>1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55</xdr:row>
      <xdr:rowOff>74083</xdr:rowOff>
    </xdr:from>
    <xdr:to>
      <xdr:col>21</xdr:col>
      <xdr:colOff>10584</xdr:colOff>
      <xdr:row>73</xdr:row>
      <xdr:rowOff>1057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2</xdr:row>
          <xdr:rowOff>9525</xdr:rowOff>
        </xdr:from>
        <xdr:to>
          <xdr:col>38</xdr:col>
          <xdr:colOff>542925</xdr:colOff>
          <xdr:row>5</xdr:row>
          <xdr:rowOff>114300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0</xdr:row>
          <xdr:rowOff>104775</xdr:rowOff>
        </xdr:from>
        <xdr:to>
          <xdr:col>21</xdr:col>
          <xdr:colOff>552450</xdr:colOff>
          <xdr:row>4</xdr:row>
          <xdr:rowOff>19050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5293</xdr:colOff>
      <xdr:row>10</xdr:row>
      <xdr:rowOff>0</xdr:rowOff>
    </xdr:from>
    <xdr:to>
      <xdr:col>5</xdr:col>
      <xdr:colOff>0</xdr:colOff>
      <xdr:row>22</xdr:row>
      <xdr:rowOff>152400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22</xdr:row>
      <xdr:rowOff>171451</xdr:rowOff>
    </xdr:from>
    <xdr:to>
      <xdr:col>5</xdr:col>
      <xdr:colOff>0</xdr:colOff>
      <xdr:row>35</xdr:row>
      <xdr:rowOff>113243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19051</xdr:colOff>
      <xdr:row>35</xdr:row>
      <xdr:rowOff>135467</xdr:rowOff>
    </xdr:from>
    <xdr:to>
      <xdr:col>5</xdr:col>
      <xdr:colOff>1</xdr:colOff>
      <xdr:row>49</xdr:row>
      <xdr:rowOff>56092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19049</xdr:colOff>
      <xdr:row>49</xdr:row>
      <xdr:rowOff>104774</xdr:rowOff>
    </xdr:from>
    <xdr:to>
      <xdr:col>5</xdr:col>
      <xdr:colOff>0</xdr:colOff>
      <xdr:row>80</xdr:row>
      <xdr:rowOff>57150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0</xdr:row>
      <xdr:rowOff>19049</xdr:rowOff>
    </xdr:from>
    <xdr:to>
      <xdr:col>5</xdr:col>
      <xdr:colOff>0</xdr:colOff>
      <xdr:row>9</xdr:row>
      <xdr:rowOff>200024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0</xdr:row>
          <xdr:rowOff>57150</xdr:rowOff>
        </xdr:from>
        <xdr:to>
          <xdr:col>9</xdr:col>
          <xdr:colOff>533400</xdr:colOff>
          <xdr:row>2</xdr:row>
          <xdr:rowOff>200025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116417</xdr:colOff>
      <xdr:row>19</xdr:row>
      <xdr:rowOff>109008</xdr:rowOff>
    </xdr:from>
    <xdr:to>
      <xdr:col>30</xdr:col>
      <xdr:colOff>10584</xdr:colOff>
      <xdr:row>39</xdr:row>
      <xdr:rowOff>10582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275167</xdr:colOff>
      <xdr:row>1</xdr:row>
      <xdr:rowOff>11641</xdr:rowOff>
    </xdr:from>
    <xdr:to>
      <xdr:col>14</xdr:col>
      <xdr:colOff>46567</xdr:colOff>
      <xdr:row>19</xdr:row>
      <xdr:rowOff>11641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121708</xdr:colOff>
      <xdr:row>1</xdr:row>
      <xdr:rowOff>11642</xdr:rowOff>
    </xdr:from>
    <xdr:to>
      <xdr:col>31</xdr:col>
      <xdr:colOff>338666</xdr:colOff>
      <xdr:row>19</xdr:row>
      <xdr:rowOff>10584</xdr:rowOff>
    </xdr:to>
    <xdr:graphicFrame macro="">
      <xdr:nvGraphicFramePr>
        <xdr:cNvPr id="11" name="차트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269875</xdr:colOff>
      <xdr:row>19</xdr:row>
      <xdr:rowOff>109008</xdr:rowOff>
    </xdr:from>
    <xdr:to>
      <xdr:col>14</xdr:col>
      <xdr:colOff>31750</xdr:colOff>
      <xdr:row>39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275165</xdr:colOff>
      <xdr:row>39</xdr:row>
      <xdr:rowOff>107949</xdr:rowOff>
    </xdr:from>
    <xdr:to>
      <xdr:col>31</xdr:col>
      <xdr:colOff>328082</xdr:colOff>
      <xdr:row>75</xdr:row>
      <xdr:rowOff>10583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88900</xdr:colOff>
      <xdr:row>1</xdr:row>
      <xdr:rowOff>25400</xdr:rowOff>
    </xdr:from>
    <xdr:to>
      <xdr:col>41</xdr:col>
      <xdr:colOff>155575</xdr:colOff>
      <xdr:row>29</xdr:row>
      <xdr:rowOff>127000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95250</xdr:colOff>
      <xdr:row>30</xdr:row>
      <xdr:rowOff>95250</xdr:rowOff>
    </xdr:from>
    <xdr:to>
      <xdr:col>41</xdr:col>
      <xdr:colOff>161925</xdr:colOff>
      <xdr:row>59</xdr:row>
      <xdr:rowOff>48683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323850</xdr:colOff>
          <xdr:row>1</xdr:row>
          <xdr:rowOff>38100</xdr:rowOff>
        </xdr:from>
        <xdr:to>
          <xdr:col>43</xdr:col>
          <xdr:colOff>142875</xdr:colOff>
          <xdr:row>4</xdr:row>
          <xdr:rowOff>133350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1</xdr:row>
          <xdr:rowOff>19050</xdr:rowOff>
        </xdr:from>
        <xdr:to>
          <xdr:col>33</xdr:col>
          <xdr:colOff>552450</xdr:colOff>
          <xdr:row>3</xdr:row>
          <xdr:rowOff>276225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92677</xdr:colOff>
      <xdr:row>7</xdr:row>
      <xdr:rowOff>88915</xdr:rowOff>
    </xdr:from>
    <xdr:ext cx="1760674" cy="1219436"/>
    <xdr:sp macro="" textlink="">
      <xdr:nvSpPr>
        <xdr:cNvPr id="2" name="직사각형 1"/>
        <xdr:cNvSpPr/>
      </xdr:nvSpPr>
      <xdr:spPr>
        <a:xfrm rot="20603517">
          <a:off x="2150077" y="1555765"/>
          <a:ext cx="1760674" cy="121943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altLang="ko-KR" sz="72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TBD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24</xdr:row>
      <xdr:rowOff>66675</xdr:rowOff>
    </xdr:from>
    <xdr:ext cx="1760674" cy="1219436"/>
    <xdr:sp macro="" textlink="">
      <xdr:nvSpPr>
        <xdr:cNvPr id="2" name="직사각형 1"/>
        <xdr:cNvSpPr/>
      </xdr:nvSpPr>
      <xdr:spPr>
        <a:xfrm rot="20603517">
          <a:off x="1771650" y="5095875"/>
          <a:ext cx="1760674" cy="121943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altLang="ko-KR" sz="72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TBD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0</xdr:row>
          <xdr:rowOff>171450</xdr:rowOff>
        </xdr:from>
        <xdr:to>
          <xdr:col>6</xdr:col>
          <xdr:colOff>609600</xdr:colOff>
          <xdr:row>3</xdr:row>
          <xdr:rowOff>95250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224900</xdr:colOff>
      <xdr:row>15</xdr:row>
      <xdr:rowOff>96262</xdr:rowOff>
    </xdr:from>
    <xdr:ext cx="6441828" cy="1892569"/>
    <xdr:sp macro="" textlink="">
      <xdr:nvSpPr>
        <xdr:cNvPr id="2" name="직사각형 1"/>
        <xdr:cNvSpPr/>
      </xdr:nvSpPr>
      <xdr:spPr>
        <a:xfrm rot="20603517">
          <a:off x="3631488" y="3390791"/>
          <a:ext cx="6441828" cy="189256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altLang="ko-KR" sz="115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Reference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3733800</xdr:colOff>
          <xdr:row>0</xdr:row>
          <xdr:rowOff>104775</xdr:rowOff>
        </xdr:from>
        <xdr:to>
          <xdr:col>21</xdr:col>
          <xdr:colOff>4914900</xdr:colOff>
          <xdr:row>3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44</xdr:row>
      <xdr:rowOff>133348</xdr:rowOff>
    </xdr:from>
    <xdr:to>
      <xdr:col>17</xdr:col>
      <xdr:colOff>47625</xdr:colOff>
      <xdr:row>71</xdr:row>
      <xdr:rowOff>21167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232834</xdr:colOff>
      <xdr:row>72</xdr:row>
      <xdr:rowOff>112182</xdr:rowOff>
    </xdr:from>
    <xdr:to>
      <xdr:col>17</xdr:col>
      <xdr:colOff>37043</xdr:colOff>
      <xdr:row>100</xdr:row>
      <xdr:rowOff>137583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127000</xdr:colOff>
      <xdr:row>51</xdr:row>
      <xdr:rowOff>116417</xdr:rowOff>
    </xdr:from>
    <xdr:ext cx="6441828" cy="1892569"/>
    <xdr:sp macro="" textlink="">
      <xdr:nvSpPr>
        <xdr:cNvPr id="4" name="직사각형 3"/>
        <xdr:cNvSpPr/>
      </xdr:nvSpPr>
      <xdr:spPr>
        <a:xfrm rot="20603517">
          <a:off x="1862667" y="8561917"/>
          <a:ext cx="6441828" cy="189256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altLang="ko-KR" sz="115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Reference</a:t>
          </a:r>
        </a:p>
      </xdr:txBody>
    </xdr:sp>
    <xdr:clientData/>
  </xdr:oneCellAnchor>
  <xdr:oneCellAnchor>
    <xdr:from>
      <xdr:col>2</xdr:col>
      <xdr:colOff>232833</xdr:colOff>
      <xdr:row>16</xdr:row>
      <xdr:rowOff>52917</xdr:rowOff>
    </xdr:from>
    <xdr:ext cx="6441828" cy="1892569"/>
    <xdr:sp macro="" textlink="">
      <xdr:nvSpPr>
        <xdr:cNvPr id="5" name="직사각형 4"/>
        <xdr:cNvSpPr/>
      </xdr:nvSpPr>
      <xdr:spPr>
        <a:xfrm rot="20603517">
          <a:off x="1449916" y="2719917"/>
          <a:ext cx="6441828" cy="189256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altLang="ko-KR" sz="115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Reference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1600200</xdr:colOff>
          <xdr:row>0</xdr:row>
          <xdr:rowOff>0</xdr:rowOff>
        </xdr:from>
        <xdr:to>
          <xdr:col>16</xdr:col>
          <xdr:colOff>2781300</xdr:colOff>
          <xdr:row>3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1_Columbus_CM3_Verification_Check_List_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2_Columbus_HCT_Verification_Check_List_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3_Columbus_FCT_Verification_Check_List_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4_Columbus_BM_Verification_Check_List_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5_Columbus_SE_Verification_Check_List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6_Columbus_MTSE_Verification_Check_List_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7_Columbus_SystemMemory_Verification_Check_List_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8_Columbus_DataBuffer_Verification_Check_List_v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09_Columbus_DMA_Verification_Check_List_v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0_Columbus_Backbone_Verification_Check_List_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1_Columbus_SystemCtrl_Verification_Check_List_v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2_Columbus_PMU_Verification_Check_List_v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3_Columbus_RPMB_Verification_Check_List_v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4_Columbus_MailBox_Verification_Check_List_v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5_Columbus_Timer_Verification_Check_List_v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6_Columbus_WDT_Verification_Check_List_v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7_Columbus_UART_Verification_Check_List_v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8_Columbus_ClockCtrl_Verification_Check_List_v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19_Columbus_ResetCtrl_Verification_Check_List_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0_Columbus_eFuseCtrl_Verification_Check_List_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1_Columbus_M-PHY_Verification_Check_List_v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2_Columbus_NandPHY_Verification_Check_List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3_Columbus_NandIO_Verification_Check_List_v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4_Columbus_TestIoMux_Verification_Check_List_v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5_Columbus_HwBypass_Verification_Check_List_v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6_Columbus_AnalogIP_Verification_Check_List_v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27_Columbus_GPIO_Verification_Check_List_v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41_Columbus_EndtoEnd_Verification_Check_List_v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2_material\Columbus\VerificationCheckList\edit\51_Columbus_PostSilicon_Validation_Check_List_v3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1_Armstrong_ARC-EM4_Verification_Check_List_v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2_Armstrong_NFC_Verification_Check_List_v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3_Armstrong_ECC_Verification_Check_List_v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4_Armstrong_CDE_Verification_Check_List_v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5_Armstrong_BoostEngine_Verification_Check_List_v2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6_Armstrong_UFS_Verification_Check_List_v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7_Armstrong_AES-UFS_Verification_Check_List_v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8_Armstrong_AES-LB_Verification_Check_List_v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09_Armstrong_MACC_Verification_Check_List_v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0_Armstrong_Backbone_Verification_Check_List_v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1_Armstrong_BufferManager_Verification_Check_List_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2_Armstrong_SystemMemory_Verification_Check_List_v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3_Armstrong_DataBuffer_Verification_Check_List_v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4_Armstrong_AMP_Verification_Check_List_v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5_Armstrong_MTSE_Verification_Check_List_v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6_Armstrong_MailBox_Verification_Check_List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7_Armstrong_Timer_Verification_Check_List_v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8_Armstrong_UART_Verification_Check_List_v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19_Armstrong_GPIO_Verification_Check_List_v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0_Armstrong_SystemRegister_Verification_Check_List_v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1_Armstrong_PMU_Verification_Check_List_v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2_Armstrong_ClockCon_Verification_Check_List_v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3_Armstrong_ResetCon_Verification_Check_List_v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4_Armstrong_M-PHY_Verification_Check_List_v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5_Armstrong_NandPHY_Verification_Check_List_v2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6_Armstrong_OnfiIO_Verification_Check_List_v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7_Armstrong_TestIoMux_Verification_Check_List_v2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8_Armstrong_eFuseCon_Verification_Check_List_v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29_Armstrong_HwBypass_Verification_Check_List_v2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30_Armstrong_AnalogIP_Verification_Check_List_v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31_Armstrong_TokenGen_Verification_Check_List_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40908349/attachments/ocauth/03018a71-e795-43d6-af65-c4119bbf5c4a/41_Armstrong_HostInteraction_Verification_Check_List_v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1_Armstrong_ARC-EM4_Verification_Check_List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2_Armstrong_NFC_Verification_Check_Lis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3_Armstrong_ECC_Verification_Check_List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4_Armstrong_CDE_Verification_Check_List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5_Armstrong_BoostEngine_Verification_Check_List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6_Armstrong_UFS_Verification_Check_List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7_Armstrong_AES-UFS_Verification_Check_List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8_Armstrong_AES-LB_Verification_Check_List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09_Armstrong_MACC_Verification_Check_List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0_Armstrong_Backbone_Verification_Check_List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1_Armstrong_BufferManager_Verification_Check_List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2_Armstrong_SystemMemory_Verification_Check_List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3_Armstrong_DataBuffer_Verification_Check_List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4_Armstrong_AMP_Verification_Check_List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5_Armstrong_MTSE_Verification_Check_List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7_Armstrong_Timer_Verification_Check_List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8_Armstrong_UART_Verification_Check_List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19_Armstrong_GPIO_Verification_Check_List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0_Armstrong_SMU_Verification_Check_List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1_Armstrong_PMU_Verification_Check_List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2_Armstrong_ClockCon_Verification_Check_List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3_Armstrong_ResetCon_Verification_Check_List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4_Armstrong_M-PHY_Verification_Check_Lis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5_Armstrong_NandPHY_Verification_Check_List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6_Armstrong_OnfiIO_Verification_Check_List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7_Armstrong_TestIoMux_Verification_Check_List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8_Armstrong_eFuseCon_Verification_Check_List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29_Armstrong_HwBypass_Verification_Check_List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30_Armstrong_AnalogIP_Verification_Check_List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fluence.skhynix.com/plugins/servlet/confluence/editinword/18122677/attachments/ocauth/ca04ad86-2762-42d4-98d1-2abdfabe2eb8/31_Armstrong_TokenGen_Verification_Check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 refreshError="1">
        <row r="7">
          <cell r="B7" t="str">
            <v>Cortex-M3</v>
          </cell>
          <cell r="C7" t="str">
            <v>최호윤 수석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 refreshError="1">
        <row r="7">
          <cell r="B7" t="str">
            <v>HCT</v>
          </cell>
          <cell r="C7" t="str">
            <v>이원규 선임</v>
          </cell>
          <cell r="D7" t="str">
            <v>박재우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FCT</v>
          </cell>
          <cell r="C7" t="str">
            <v>천동엽 책임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Buffer Manager</v>
          </cell>
          <cell r="C7" t="str">
            <v>지대근 책임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Search Engine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MTSE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System Memory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Data Buffer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DMA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Back Bone</v>
          </cell>
          <cell r="C7" t="str">
            <v>최호윤 수석</v>
          </cell>
          <cell r="D7" t="str">
            <v>최호윤 수석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System Controller</v>
          </cell>
          <cell r="C7" t="str">
            <v>김정욱 책임</v>
          </cell>
          <cell r="D7" t="str">
            <v>김정욱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PMU</v>
          </cell>
          <cell r="C7" t="str">
            <v>김정욱 책임</v>
          </cell>
          <cell r="D7" t="str">
            <v>김정욱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RPMB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Mail Box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Timer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WDT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UART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Clock Controller</v>
          </cell>
          <cell r="C7" t="str">
            <v>김정욱 책임</v>
          </cell>
          <cell r="D7" t="str">
            <v>김정욱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Reset Controller</v>
          </cell>
          <cell r="C7" t="str">
            <v>김정욱 책임</v>
          </cell>
          <cell r="D7" t="str">
            <v>김정욱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eFuse Controller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M-PHY</v>
          </cell>
          <cell r="C7" t="str">
            <v>이현주 선임</v>
          </cell>
          <cell r="D7" t="str">
            <v>이현주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Nand PHY</v>
          </cell>
          <cell r="C7" t="str">
            <v>이종용 선임</v>
          </cell>
          <cell r="D7" t="str">
            <v>이종용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Nand IO</v>
          </cell>
          <cell r="C7" t="str">
            <v>이종용 선임</v>
          </cell>
          <cell r="D7" t="str">
            <v>이종용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Test Mux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HW Bypass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Analog IP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GPIO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 refreshError="1">
        <row r="7">
          <cell r="B7" t="str">
            <v>End to End</v>
          </cell>
          <cell r="C7" t="str">
            <v>ALL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_Rev_A"/>
      <sheetName val="CheckList_Rev_B"/>
      <sheetName val="IssueList"/>
    </sheetNames>
    <sheetDataSet>
      <sheetData sheetId="0">
        <row r="7">
          <cell r="B7" t="str">
            <v>Post-Silicon Validation</v>
          </cell>
          <cell r="C7" t="str">
            <v>ALL</v>
          </cell>
          <cell r="D7" t="str">
            <v>ALL</v>
          </cell>
        </row>
      </sheetData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  <sheetName val="Interrupt RTL"/>
      <sheetName val="Interrupt ASIC"/>
    </sheetNames>
    <sheetDataSet>
      <sheetData sheetId="0">
        <row r="7">
          <cell r="B7" t="str">
            <v>ARC-EM4</v>
          </cell>
        </row>
        <row r="12">
          <cell r="D12">
            <v>9</v>
          </cell>
          <cell r="E12">
            <v>6</v>
          </cell>
          <cell r="F12">
            <v>2</v>
          </cell>
          <cell r="G12">
            <v>5</v>
          </cell>
        </row>
        <row r="13">
          <cell r="D13">
            <v>13</v>
          </cell>
          <cell r="E13">
            <v>18</v>
          </cell>
          <cell r="F13">
            <v>6</v>
          </cell>
          <cell r="G13">
            <v>17</v>
          </cell>
        </row>
        <row r="14">
          <cell r="D14">
            <v>0</v>
          </cell>
          <cell r="E14">
            <v>1</v>
          </cell>
          <cell r="F14">
            <v>0</v>
          </cell>
          <cell r="G14">
            <v>10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2</v>
          </cell>
        </row>
        <row r="21">
          <cell r="D21">
            <v>0</v>
          </cell>
        </row>
        <row r="22">
          <cell r="D22">
            <v>3</v>
          </cell>
        </row>
        <row r="23">
          <cell r="D23">
            <v>3</v>
          </cell>
        </row>
        <row r="24">
          <cell r="D24">
            <v>16</v>
          </cell>
        </row>
        <row r="25">
          <cell r="D25">
            <v>2</v>
          </cell>
        </row>
        <row r="26">
          <cell r="D26">
            <v>0</v>
          </cell>
        </row>
        <row r="27">
          <cell r="D27">
            <v>8</v>
          </cell>
        </row>
        <row r="28">
          <cell r="D28">
            <v>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  <sheetName val="CMD_IF"/>
      <sheetName val="DESC_IF"/>
      <sheetName val="DMA_IF"/>
      <sheetName val="PHY_FSM"/>
      <sheetName val="PSC_SPC_DFC"/>
      <sheetName val="SlotManage"/>
    </sheetNames>
    <sheetDataSet>
      <sheetData sheetId="0">
        <row r="7">
          <cell r="B7" t="str">
            <v>NFC</v>
          </cell>
        </row>
        <row r="12">
          <cell r="D12">
            <v>202</v>
          </cell>
          <cell r="E12">
            <v>3</v>
          </cell>
          <cell r="F12">
            <v>1</v>
          </cell>
          <cell r="G12">
            <v>0</v>
          </cell>
        </row>
        <row r="13">
          <cell r="D13">
            <v>54</v>
          </cell>
          <cell r="E13">
            <v>54</v>
          </cell>
          <cell r="F13">
            <v>25</v>
          </cell>
          <cell r="G13">
            <v>57</v>
          </cell>
        </row>
        <row r="14">
          <cell r="D14">
            <v>57</v>
          </cell>
          <cell r="E14">
            <v>54</v>
          </cell>
          <cell r="F14">
            <v>0</v>
          </cell>
          <cell r="G14">
            <v>59</v>
          </cell>
        </row>
        <row r="15">
          <cell r="D15">
            <v>4</v>
          </cell>
          <cell r="E15">
            <v>20</v>
          </cell>
          <cell r="F15">
            <v>0</v>
          </cell>
          <cell r="G15">
            <v>9</v>
          </cell>
        </row>
        <row r="16">
          <cell r="D16">
            <v>0</v>
          </cell>
          <cell r="E16">
            <v>5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204</v>
          </cell>
        </row>
        <row r="22">
          <cell r="D22">
            <v>0</v>
          </cell>
        </row>
        <row r="23">
          <cell r="D23">
            <v>100</v>
          </cell>
        </row>
        <row r="24">
          <cell r="D24">
            <v>15</v>
          </cell>
        </row>
        <row r="25">
          <cell r="D25">
            <v>5</v>
          </cell>
        </row>
        <row r="26">
          <cell r="D26">
            <v>0</v>
          </cell>
        </row>
        <row r="27">
          <cell r="D27">
            <v>26</v>
          </cell>
        </row>
        <row r="28">
          <cell r="D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ECC</v>
          </cell>
        </row>
        <row r="12">
          <cell r="D12">
            <v>1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50</v>
          </cell>
          <cell r="E13">
            <v>0</v>
          </cell>
          <cell r="F13">
            <v>0</v>
          </cell>
          <cell r="G13">
            <v>0</v>
          </cell>
        </row>
        <row r="14">
          <cell r="D14">
            <v>2</v>
          </cell>
          <cell r="E14">
            <v>2</v>
          </cell>
          <cell r="F14">
            <v>0</v>
          </cell>
          <cell r="G14">
            <v>2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50</v>
          </cell>
        </row>
        <row r="22">
          <cell r="D22">
            <v>0</v>
          </cell>
        </row>
        <row r="23">
          <cell r="D23">
            <v>2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CDE</v>
          </cell>
        </row>
        <row r="12">
          <cell r="D12">
            <v>6</v>
          </cell>
          <cell r="E12">
            <v>5</v>
          </cell>
          <cell r="F12">
            <v>0</v>
          </cell>
          <cell r="G12">
            <v>3</v>
          </cell>
        </row>
        <row r="13">
          <cell r="D13">
            <v>7</v>
          </cell>
          <cell r="E13">
            <v>7</v>
          </cell>
          <cell r="F13">
            <v>0</v>
          </cell>
          <cell r="G13">
            <v>7</v>
          </cell>
        </row>
        <row r="14">
          <cell r="D14">
            <v>8</v>
          </cell>
          <cell r="E14">
            <v>13</v>
          </cell>
          <cell r="F14">
            <v>1</v>
          </cell>
          <cell r="G14">
            <v>13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10</v>
          </cell>
        </row>
        <row r="24">
          <cell r="D24">
            <v>14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Boost Engine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0</v>
          </cell>
        </row>
        <row r="13">
          <cell r="D13">
            <v>6</v>
          </cell>
          <cell r="E13">
            <v>3</v>
          </cell>
          <cell r="F13">
            <v>0</v>
          </cell>
          <cell r="G13">
            <v>2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2</v>
          </cell>
        </row>
        <row r="23">
          <cell r="D23">
            <v>2</v>
          </cell>
        </row>
        <row r="24">
          <cell r="D24">
            <v>4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Silicon Validation"/>
      <sheetName val="Unipro"/>
      <sheetName val="UTP"/>
      <sheetName val="DMA"/>
      <sheetName val="UFS_SCSI_CMD"/>
      <sheetName val="UFS_Protocol"/>
      <sheetName val="IssueList"/>
    </sheetNames>
    <sheetDataSet>
      <sheetData sheetId="0">
        <row r="7">
          <cell r="B7" t="str">
            <v>UFS</v>
          </cell>
        </row>
        <row r="12">
          <cell r="D12">
            <v>194</v>
          </cell>
          <cell r="E12">
            <v>14</v>
          </cell>
          <cell r="F12">
            <v>0</v>
          </cell>
          <cell r="G12">
            <v>0</v>
          </cell>
        </row>
        <row r="13">
          <cell r="D13">
            <v>56</v>
          </cell>
          <cell r="E13">
            <v>0</v>
          </cell>
          <cell r="F13">
            <v>4</v>
          </cell>
          <cell r="G13">
            <v>0</v>
          </cell>
        </row>
        <row r="14">
          <cell r="D14">
            <v>0</v>
          </cell>
          <cell r="E14">
            <v>27</v>
          </cell>
          <cell r="F14">
            <v>0</v>
          </cell>
          <cell r="G14">
            <v>0</v>
          </cell>
        </row>
        <row r="15">
          <cell r="D15">
            <v>7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193</v>
          </cell>
        </row>
        <row r="23">
          <cell r="D23">
            <v>1</v>
          </cell>
        </row>
        <row r="24">
          <cell r="D24">
            <v>75</v>
          </cell>
        </row>
        <row r="25">
          <cell r="D25">
            <v>5</v>
          </cell>
        </row>
        <row r="26">
          <cell r="D26">
            <v>0</v>
          </cell>
        </row>
        <row r="27">
          <cell r="D27">
            <v>42</v>
          </cell>
        </row>
        <row r="28">
          <cell r="D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FW_Security_IN_OUT"/>
      <sheetName val="FW_Regular_Read_Write"/>
      <sheetName val="IssueList"/>
    </sheetNames>
    <sheetDataSet>
      <sheetData sheetId="0">
        <row r="7">
          <cell r="B7" t="str">
            <v>AES-UFS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0</v>
          </cell>
        </row>
        <row r="13">
          <cell r="D13">
            <v>19</v>
          </cell>
          <cell r="E13">
            <v>13</v>
          </cell>
          <cell r="F13">
            <v>0</v>
          </cell>
          <cell r="G13">
            <v>0</v>
          </cell>
        </row>
        <row r="14">
          <cell r="D14">
            <v>12</v>
          </cell>
          <cell r="E14">
            <v>7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1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61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3</v>
          </cell>
        </row>
        <row r="23">
          <cell r="D23">
            <v>17</v>
          </cell>
        </row>
        <row r="24">
          <cell r="D24">
            <v>12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65</v>
          </cell>
        </row>
        <row r="28">
          <cell r="D2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AES-LB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0</v>
          </cell>
        </row>
        <row r="13">
          <cell r="D13">
            <v>21</v>
          </cell>
          <cell r="E13">
            <v>14</v>
          </cell>
          <cell r="F13">
            <v>0</v>
          </cell>
          <cell r="G13">
            <v>0</v>
          </cell>
        </row>
        <row r="14">
          <cell r="D14">
            <v>8</v>
          </cell>
          <cell r="E14">
            <v>8</v>
          </cell>
          <cell r="F14">
            <v>0</v>
          </cell>
          <cell r="G14">
            <v>0</v>
          </cell>
        </row>
        <row r="15">
          <cell r="D15">
            <v>5</v>
          </cell>
          <cell r="E15">
            <v>5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7</v>
          </cell>
        </row>
        <row r="23">
          <cell r="D23">
            <v>22</v>
          </cell>
        </row>
        <row r="24">
          <cell r="D24">
            <v>2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5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MACC</v>
          </cell>
        </row>
        <row r="12">
          <cell r="D12">
            <v>5</v>
          </cell>
          <cell r="E12">
            <v>3</v>
          </cell>
          <cell r="F12">
            <v>0</v>
          </cell>
          <cell r="G12">
            <v>3</v>
          </cell>
        </row>
        <row r="13">
          <cell r="D13">
            <v>5</v>
          </cell>
          <cell r="E13">
            <v>5</v>
          </cell>
          <cell r="F13">
            <v>0</v>
          </cell>
          <cell r="G13">
            <v>5</v>
          </cell>
        </row>
        <row r="14">
          <cell r="D14">
            <v>28</v>
          </cell>
          <cell r="E14">
            <v>17</v>
          </cell>
          <cell r="F14">
            <v>2</v>
          </cell>
          <cell r="G14">
            <v>17</v>
          </cell>
        </row>
        <row r="15">
          <cell r="D15">
            <v>1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18</v>
          </cell>
        </row>
        <row r="24">
          <cell r="D24">
            <v>18</v>
          </cell>
        </row>
        <row r="25">
          <cell r="D25">
            <v>2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Backbone</v>
          </cell>
        </row>
        <row r="12">
          <cell r="D12">
            <v>3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D14">
            <v>2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3</v>
          </cell>
        </row>
        <row r="23">
          <cell r="D23">
            <v>1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Buffer Manager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3</v>
          </cell>
        </row>
        <row r="13">
          <cell r="D13">
            <v>27</v>
          </cell>
          <cell r="E13">
            <v>7</v>
          </cell>
          <cell r="F13">
            <v>1</v>
          </cell>
          <cell r="G13">
            <v>4</v>
          </cell>
        </row>
        <row r="14">
          <cell r="D14">
            <v>26</v>
          </cell>
          <cell r="E14">
            <v>19</v>
          </cell>
          <cell r="F14">
            <v>0</v>
          </cell>
          <cell r="G14">
            <v>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27</v>
          </cell>
        </row>
        <row r="23">
          <cell r="D23">
            <v>7</v>
          </cell>
        </row>
        <row r="24">
          <cell r="D24">
            <v>16</v>
          </cell>
        </row>
        <row r="25">
          <cell r="D25">
            <v>3</v>
          </cell>
        </row>
        <row r="26">
          <cell r="D26">
            <v>4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System Memory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39</v>
          </cell>
          <cell r="E13">
            <v>3</v>
          </cell>
          <cell r="F13">
            <v>3</v>
          </cell>
          <cell r="G13">
            <v>3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2</v>
          </cell>
        </row>
        <row r="21">
          <cell r="D21">
            <v>0</v>
          </cell>
        </row>
        <row r="22">
          <cell r="D22">
            <v>40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Data Buffer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40</v>
          </cell>
          <cell r="E13">
            <v>3</v>
          </cell>
          <cell r="F13">
            <v>3</v>
          </cell>
          <cell r="G13">
            <v>3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2</v>
          </cell>
        </row>
        <row r="21">
          <cell r="D21">
            <v>0</v>
          </cell>
        </row>
        <row r="22">
          <cell r="D22">
            <v>41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AMP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0</v>
          </cell>
        </row>
        <row r="13">
          <cell r="D13">
            <v>88</v>
          </cell>
          <cell r="E13">
            <v>58</v>
          </cell>
          <cell r="F13">
            <v>6</v>
          </cell>
          <cell r="G13">
            <v>0</v>
          </cell>
        </row>
        <row r="14">
          <cell r="D14">
            <v>7</v>
          </cell>
          <cell r="E14">
            <v>7</v>
          </cell>
          <cell r="F14">
            <v>0</v>
          </cell>
          <cell r="G14">
            <v>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42</v>
          </cell>
        </row>
        <row r="23">
          <cell r="D23">
            <v>35</v>
          </cell>
        </row>
        <row r="24">
          <cell r="D24">
            <v>13</v>
          </cell>
        </row>
        <row r="25">
          <cell r="D25">
            <v>8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MTSE</v>
          </cell>
        </row>
        <row r="12">
          <cell r="D12">
            <v>4</v>
          </cell>
          <cell r="E12">
            <v>3</v>
          </cell>
          <cell r="F12">
            <v>1</v>
          </cell>
          <cell r="G12">
            <v>3</v>
          </cell>
        </row>
        <row r="13">
          <cell r="D13">
            <v>35</v>
          </cell>
          <cell r="E13">
            <v>28</v>
          </cell>
          <cell r="F13">
            <v>0</v>
          </cell>
          <cell r="G13">
            <v>28</v>
          </cell>
        </row>
        <row r="14">
          <cell r="D14">
            <v>1</v>
          </cell>
          <cell r="E14">
            <v>1</v>
          </cell>
          <cell r="F14">
            <v>0</v>
          </cell>
          <cell r="G14">
            <v>1</v>
          </cell>
        </row>
        <row r="15">
          <cell r="D15">
            <v>14</v>
          </cell>
          <cell r="E15">
            <v>14</v>
          </cell>
          <cell r="F15">
            <v>0</v>
          </cell>
          <cell r="G15">
            <v>14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8</v>
          </cell>
        </row>
        <row r="23">
          <cell r="D23">
            <v>42</v>
          </cell>
        </row>
        <row r="24">
          <cell r="D24">
            <v>1</v>
          </cell>
        </row>
        <row r="25">
          <cell r="D25">
            <v>2</v>
          </cell>
        </row>
        <row r="26">
          <cell r="D26">
            <v>0</v>
          </cell>
        </row>
        <row r="27">
          <cell r="D27">
            <v>1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Mail Box</v>
          </cell>
        </row>
        <row r="12">
          <cell r="D12">
            <v>5</v>
          </cell>
          <cell r="E12">
            <v>4</v>
          </cell>
          <cell r="F12">
            <v>1</v>
          </cell>
          <cell r="G12">
            <v>4</v>
          </cell>
        </row>
        <row r="13">
          <cell r="D13">
            <v>51</v>
          </cell>
          <cell r="E13">
            <v>51</v>
          </cell>
          <cell r="F13">
            <v>5</v>
          </cell>
          <cell r="G13">
            <v>51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2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5</v>
          </cell>
          <cell r="E16">
            <v>5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2</v>
          </cell>
        </row>
        <row r="23">
          <cell r="D23">
            <v>5</v>
          </cell>
        </row>
        <row r="24">
          <cell r="D24">
            <v>0</v>
          </cell>
        </row>
        <row r="25">
          <cell r="D25">
            <v>55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Timer</v>
          </cell>
        </row>
        <row r="12">
          <cell r="D12">
            <v>4</v>
          </cell>
          <cell r="E12">
            <v>3</v>
          </cell>
          <cell r="F12">
            <v>0</v>
          </cell>
          <cell r="G12">
            <v>3</v>
          </cell>
        </row>
        <row r="13">
          <cell r="D13">
            <v>8</v>
          </cell>
          <cell r="E13">
            <v>8</v>
          </cell>
          <cell r="F13">
            <v>2</v>
          </cell>
          <cell r="G13">
            <v>13</v>
          </cell>
        </row>
        <row r="14">
          <cell r="D14">
            <v>5</v>
          </cell>
          <cell r="E14">
            <v>5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13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UART</v>
          </cell>
        </row>
        <row r="12">
          <cell r="D12">
            <v>10</v>
          </cell>
          <cell r="E12">
            <v>9</v>
          </cell>
          <cell r="F12">
            <v>1</v>
          </cell>
          <cell r="G12">
            <v>9</v>
          </cell>
        </row>
        <row r="13">
          <cell r="D13">
            <v>17</v>
          </cell>
          <cell r="E13">
            <v>15</v>
          </cell>
          <cell r="F13">
            <v>0</v>
          </cell>
          <cell r="G13">
            <v>15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21</v>
          </cell>
        </row>
        <row r="24">
          <cell r="D24">
            <v>4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GPIO</v>
          </cell>
        </row>
        <row r="12">
          <cell r="D12">
            <v>6</v>
          </cell>
          <cell r="E12">
            <v>5</v>
          </cell>
          <cell r="F12">
            <v>1</v>
          </cell>
          <cell r="G12">
            <v>5</v>
          </cell>
        </row>
        <row r="13">
          <cell r="D13">
            <v>8</v>
          </cell>
          <cell r="E13">
            <v>8</v>
          </cell>
          <cell r="F13">
            <v>0</v>
          </cell>
          <cell r="G13">
            <v>8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3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System Register</v>
          </cell>
        </row>
        <row r="12">
          <cell r="D12">
            <v>4</v>
          </cell>
          <cell r="E12">
            <v>2</v>
          </cell>
          <cell r="F12">
            <v>2</v>
          </cell>
          <cell r="G12">
            <v>1</v>
          </cell>
        </row>
        <row r="13">
          <cell r="D13">
            <v>158</v>
          </cell>
          <cell r="E13">
            <v>13</v>
          </cell>
          <cell r="F13">
            <v>57</v>
          </cell>
          <cell r="G13">
            <v>39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164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Checklist_ufs+pmu"/>
      <sheetName val="IssueList"/>
    </sheetNames>
    <sheetDataSet>
      <sheetData sheetId="0">
        <row r="7">
          <cell r="B7" t="str">
            <v>PMU</v>
          </cell>
        </row>
        <row r="12">
          <cell r="D12">
            <v>1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35</v>
          </cell>
          <cell r="E13">
            <v>4</v>
          </cell>
          <cell r="F13">
            <v>20</v>
          </cell>
          <cell r="G13">
            <v>21</v>
          </cell>
        </row>
        <row r="14">
          <cell r="D14">
            <v>32</v>
          </cell>
          <cell r="E14">
            <v>19</v>
          </cell>
          <cell r="F14">
            <v>0</v>
          </cell>
          <cell r="G14">
            <v>37</v>
          </cell>
        </row>
        <row r="15">
          <cell r="D15">
            <v>0</v>
          </cell>
          <cell r="E15">
            <v>4</v>
          </cell>
          <cell r="F15">
            <v>0</v>
          </cell>
          <cell r="G15">
            <v>6</v>
          </cell>
        </row>
        <row r="16">
          <cell r="D16">
            <v>4</v>
          </cell>
          <cell r="E16">
            <v>1</v>
          </cell>
          <cell r="F16">
            <v>0</v>
          </cell>
          <cell r="G16">
            <v>2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2</v>
          </cell>
        </row>
        <row r="23">
          <cell r="D23">
            <v>2</v>
          </cell>
        </row>
        <row r="24">
          <cell r="D24">
            <v>1</v>
          </cell>
        </row>
        <row r="25">
          <cell r="D25">
            <v>37</v>
          </cell>
        </row>
        <row r="26">
          <cell r="D26">
            <v>39</v>
          </cell>
        </row>
        <row r="27">
          <cell r="D27">
            <v>9</v>
          </cell>
        </row>
        <row r="28">
          <cell r="D28">
            <v>0</v>
          </cell>
        </row>
      </sheetData>
      <sheetData sheetId="1"/>
      <sheetData sheetId="2"/>
      <sheetData sheetId="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Clock Controller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25</v>
          </cell>
          <cell r="E13">
            <v>0</v>
          </cell>
          <cell r="F13">
            <v>25</v>
          </cell>
          <cell r="G13">
            <v>18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25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  <sheetName val="IP"/>
    </sheetNames>
    <sheetDataSet>
      <sheetData sheetId="0">
        <row r="7">
          <cell r="B7" t="str">
            <v>Reset Controller</v>
          </cell>
        </row>
        <row r="12">
          <cell r="D12">
            <v>2</v>
          </cell>
          <cell r="E12">
            <v>1</v>
          </cell>
          <cell r="F12">
            <v>0</v>
          </cell>
          <cell r="G12">
            <v>0</v>
          </cell>
        </row>
        <row r="13">
          <cell r="D13">
            <v>10</v>
          </cell>
          <cell r="E13">
            <v>9</v>
          </cell>
          <cell r="F13">
            <v>11</v>
          </cell>
          <cell r="G13">
            <v>10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4</v>
          </cell>
        </row>
        <row r="24">
          <cell r="D24">
            <v>0</v>
          </cell>
        </row>
        <row r="25">
          <cell r="D25">
            <v>12</v>
          </cell>
        </row>
        <row r="26">
          <cell r="D26">
            <v>1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M-PHY</v>
          </cell>
        </row>
        <row r="12">
          <cell r="D12">
            <v>6</v>
          </cell>
          <cell r="E12">
            <v>0</v>
          </cell>
          <cell r="F12">
            <v>6</v>
          </cell>
          <cell r="G12">
            <v>6</v>
          </cell>
        </row>
        <row r="13">
          <cell r="D13">
            <v>32</v>
          </cell>
          <cell r="E13">
            <v>4</v>
          </cell>
          <cell r="F13">
            <v>13</v>
          </cell>
          <cell r="G13">
            <v>26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38</v>
          </cell>
        </row>
        <row r="26">
          <cell r="D26">
            <v>0</v>
          </cell>
        </row>
        <row r="27">
          <cell r="D27">
            <v>2</v>
          </cell>
        </row>
        <row r="28">
          <cell r="D28">
            <v>18</v>
          </cell>
        </row>
      </sheetData>
      <sheetData sheetId="1"/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Nand PHY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33</v>
          </cell>
          <cell r="E13">
            <v>24</v>
          </cell>
          <cell r="F13">
            <v>28</v>
          </cell>
          <cell r="G13">
            <v>24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33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NAND IO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7</v>
          </cell>
          <cell r="E13">
            <v>0</v>
          </cell>
          <cell r="F13">
            <v>7</v>
          </cell>
          <cell r="G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</v>
          </cell>
        </row>
        <row r="25">
          <cell r="D25">
            <v>0</v>
          </cell>
        </row>
        <row r="26">
          <cell r="D26">
            <v>6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Test IO Mux</v>
          </cell>
        </row>
        <row r="12">
          <cell r="D12">
            <v>1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14</v>
          </cell>
          <cell r="E13">
            <v>0</v>
          </cell>
          <cell r="F13">
            <v>14</v>
          </cell>
          <cell r="G13">
            <v>6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14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eFuse Controller</v>
          </cell>
        </row>
        <row r="12">
          <cell r="D12">
            <v>6</v>
          </cell>
          <cell r="E12">
            <v>3</v>
          </cell>
          <cell r="F12">
            <v>3</v>
          </cell>
          <cell r="G12">
            <v>0</v>
          </cell>
        </row>
        <row r="13">
          <cell r="D13">
            <v>1</v>
          </cell>
          <cell r="E13">
            <v>0</v>
          </cell>
          <cell r="F13">
            <v>0</v>
          </cell>
          <cell r="G13">
            <v>0</v>
          </cell>
        </row>
        <row r="14">
          <cell r="D14">
            <v>2</v>
          </cell>
          <cell r="E14">
            <v>1</v>
          </cell>
          <cell r="F14">
            <v>0</v>
          </cell>
          <cell r="G14">
            <v>3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3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2</v>
          </cell>
        </row>
        <row r="26">
          <cell r="D26">
            <v>4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HW Bypass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48</v>
          </cell>
          <cell r="E13">
            <v>0</v>
          </cell>
          <cell r="F13">
            <v>16</v>
          </cell>
          <cell r="G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32</v>
          </cell>
        </row>
        <row r="26">
          <cell r="D26">
            <v>16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Analog IP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22</v>
          </cell>
          <cell r="E13">
            <v>0</v>
          </cell>
          <cell r="F13">
            <v>0</v>
          </cell>
          <cell r="G13">
            <v>0</v>
          </cell>
        </row>
        <row r="14">
          <cell r="D14">
            <v>22</v>
          </cell>
          <cell r="E14">
            <v>0</v>
          </cell>
          <cell r="F14">
            <v>6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22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22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IssueList"/>
    </sheetNames>
    <sheetDataSet>
      <sheetData sheetId="0">
        <row r="7">
          <cell r="B7" t="str">
            <v>Token Generator</v>
          </cell>
        </row>
        <row r="12">
          <cell r="D12">
            <v>3</v>
          </cell>
          <cell r="E12">
            <v>0</v>
          </cell>
          <cell r="F12">
            <v>0</v>
          </cell>
          <cell r="G12">
            <v>0</v>
          </cell>
        </row>
        <row r="13">
          <cell r="D13">
            <v>5</v>
          </cell>
          <cell r="E13">
            <v>0</v>
          </cell>
          <cell r="F13">
            <v>0</v>
          </cell>
          <cell r="G13">
            <v>1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20">
          <cell r="D20">
            <v>1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7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Unipro_CTS"/>
      <sheetName val="Power_Mode"/>
      <sheetName val="TG64.5"/>
      <sheetName val="IssueList"/>
      <sheetName val="Workload_Pattern"/>
      <sheetName val="UFS_SCSI_CMD"/>
      <sheetName val="UFS_Protocol"/>
      <sheetName val="M-PHY_CTS_1"/>
      <sheetName val="M-PHY_CTS_2"/>
      <sheetName val="SNPS_Attribute"/>
    </sheetNames>
    <sheetDataSet>
      <sheetData sheetId="0">
        <row r="7">
          <cell r="B7" t="str">
            <v>Host Interaction
(Sonic)</v>
          </cell>
        </row>
        <row r="12">
          <cell r="D12">
            <v>0</v>
          </cell>
          <cell r="E12">
            <v>21</v>
          </cell>
          <cell r="F12">
            <v>0</v>
          </cell>
          <cell r="G12">
            <v>20</v>
          </cell>
        </row>
        <row r="13">
          <cell r="D13">
            <v>0</v>
          </cell>
          <cell r="E13">
            <v>315</v>
          </cell>
          <cell r="F13">
            <v>0</v>
          </cell>
          <cell r="G13">
            <v>312</v>
          </cell>
        </row>
        <row r="14">
          <cell r="D14">
            <v>0</v>
          </cell>
          <cell r="E14">
            <v>25</v>
          </cell>
          <cell r="F14">
            <v>0</v>
          </cell>
          <cell r="G14">
            <v>35</v>
          </cell>
        </row>
        <row r="15">
          <cell r="D15">
            <v>0</v>
          </cell>
          <cell r="E15">
            <v>4</v>
          </cell>
          <cell r="F15">
            <v>0</v>
          </cell>
          <cell r="G15">
            <v>5</v>
          </cell>
        </row>
        <row r="16">
          <cell r="D16">
            <v>0</v>
          </cell>
          <cell r="E16">
            <v>17</v>
          </cell>
          <cell r="F16">
            <v>0</v>
          </cell>
          <cell r="G16">
            <v>18</v>
          </cell>
        </row>
        <row r="20">
          <cell r="D20">
            <v>10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96</v>
          </cell>
        </row>
        <row r="28">
          <cell r="D28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  <sheetName val="Interrupt"/>
    </sheetNames>
    <sheetDataSet>
      <sheetData sheetId="0">
        <row r="2">
          <cell r="S2" t="str">
            <v>REV01</v>
          </cell>
        </row>
        <row r="7">
          <cell r="C7" t="str">
            <v>ARC-EM4</v>
          </cell>
          <cell r="D7" t="str">
            <v>박재한 책임</v>
          </cell>
          <cell r="E7" t="str">
            <v>조성엽 책임</v>
          </cell>
          <cell r="F7">
            <v>19</v>
          </cell>
          <cell r="G7">
            <v>19</v>
          </cell>
          <cell r="H7">
            <v>1</v>
          </cell>
          <cell r="I7">
            <v>0.37</v>
          </cell>
          <cell r="J7" t="str">
            <v>N/A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25</v>
          </cell>
          <cell r="Q7">
            <v>23</v>
          </cell>
          <cell r="R7">
            <v>0.92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  <sheetData sheetId="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  <sheetName val="CMD_IF"/>
      <sheetName val="DESC_IF"/>
      <sheetName val="DMA_IF"/>
      <sheetName val="PHY_FSM"/>
      <sheetName val="PSC_SPC_DFC"/>
      <sheetName val="SlotManage"/>
      <sheetName val="Sheet1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NFC</v>
          </cell>
          <cell r="D7" t="str">
            <v>김재우 책임</v>
          </cell>
          <cell r="E7" t="str">
            <v>윤동준 선임</v>
          </cell>
          <cell r="F7">
            <v>242</v>
          </cell>
          <cell r="G7">
            <v>242</v>
          </cell>
          <cell r="H7">
            <v>1</v>
          </cell>
          <cell r="I7" t="str">
            <v>N/A</v>
          </cell>
          <cell r="J7">
            <v>0.98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130</v>
          </cell>
          <cell r="Q7">
            <v>126</v>
          </cell>
          <cell r="R7">
            <v>0.96923076923076923</v>
          </cell>
          <cell r="S7" t="str">
            <v>-</v>
          </cell>
          <cell r="T7" t="str">
            <v xml:space="preserve">RTL: Line coverage report(use tool : VCS)
 - F2/F3 coverage의 경우 F0/F1 coverage에서 이미 모든 경우가 반영 되어 있으므로 추출 의미가 없음
POST:
FPGA: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ECC</v>
          </cell>
          <cell r="D7" t="str">
            <v>김주희 선임</v>
          </cell>
          <cell r="E7" t="str">
            <v>조성근 선임</v>
          </cell>
          <cell r="F7">
            <v>51</v>
          </cell>
          <cell r="G7">
            <v>51</v>
          </cell>
          <cell r="H7">
            <v>1</v>
          </cell>
          <cell r="I7" t="str">
            <v>N/A</v>
          </cell>
          <cell r="J7">
            <v>0.9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>RTL: VCS line coverage 결과
POST: NFC에 포함
FPGA: NFC에 포함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d040</v>
          </cell>
        </row>
        <row r="7">
          <cell r="C7" t="str">
            <v>CDE</v>
          </cell>
          <cell r="D7" t="str">
            <v>이학대 책임</v>
          </cell>
          <cell r="E7" t="str">
            <v>윤동준 선임</v>
          </cell>
          <cell r="F7">
            <v>26</v>
          </cell>
          <cell r="G7">
            <v>26</v>
          </cell>
          <cell r="H7">
            <v>1</v>
          </cell>
          <cell r="I7">
            <v>0.99</v>
          </cell>
          <cell r="J7">
            <v>0.99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25</v>
          </cell>
          <cell r="Q7">
            <v>25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Boost Engine</v>
          </cell>
          <cell r="D7" t="str">
            <v>조성근 선임</v>
          </cell>
          <cell r="E7" t="str">
            <v>조성근 선임</v>
          </cell>
          <cell r="F7">
            <v>8</v>
          </cell>
          <cell r="G7">
            <v>8</v>
          </cell>
          <cell r="H7">
            <v>1</v>
          </cell>
          <cell r="I7">
            <v>0.83</v>
          </cell>
          <cell r="J7">
            <v>0.97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4</v>
          </cell>
          <cell r="Q7">
            <v>4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UFS CheckList"/>
      <sheetName val="Unipro"/>
      <sheetName val="UTP"/>
      <sheetName val="DMA"/>
      <sheetName val="UFS_SCSI_CMD"/>
      <sheetName val="UFS_Protocol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UFS</v>
          </cell>
          <cell r="D7" t="str">
            <v>박재우 선임</v>
          </cell>
          <cell r="E7" t="str">
            <v>조성엽 책임</v>
          </cell>
          <cell r="F7">
            <v>212</v>
          </cell>
          <cell r="G7">
            <v>207</v>
          </cell>
          <cell r="H7">
            <v>0.97641509433962259</v>
          </cell>
          <cell r="I7">
            <v>0.73</v>
          </cell>
          <cell r="J7">
            <v>0.73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43</v>
          </cell>
          <cell r="Q7">
            <v>26</v>
          </cell>
          <cell r="R7">
            <v>0.60465116279069764</v>
          </cell>
          <cell r="S7" t="str">
            <v>-</v>
          </cell>
          <cell r="T7" t="str">
            <v xml:space="preserve">RTL: 현재 Design 수정 중이기에 code merge 불가
       따라서 현재 coverage는 단일 random constaint simulation code coverage 결과
       1/24 design 완료 후 1/28내에 all test pass 된 coverage 공유 예정
POST:
FPGA: 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FW_Security_IN_OUT"/>
      <sheetName val="FW_Regular_Read_Write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AES-UFS</v>
          </cell>
          <cell r="D7" t="str">
            <v>박재한 책임</v>
          </cell>
          <cell r="E7" t="str">
            <v>조성엽 책임</v>
          </cell>
          <cell r="F7">
            <v>34</v>
          </cell>
          <cell r="G7">
            <v>34</v>
          </cell>
          <cell r="H7">
            <v>1</v>
          </cell>
          <cell r="I7">
            <v>0.95</v>
          </cell>
          <cell r="J7">
            <v>0.95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82</v>
          </cell>
          <cell r="Q7">
            <v>81</v>
          </cell>
          <cell r="R7">
            <v>0.98780487804878048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d040</v>
          </cell>
        </row>
        <row r="7">
          <cell r="C7" t="str">
            <v>AES-LB</v>
          </cell>
          <cell r="D7" t="str">
            <v>이현주 선임</v>
          </cell>
          <cell r="E7" t="str">
            <v>이현주 선임</v>
          </cell>
          <cell r="F7">
            <v>37</v>
          </cell>
          <cell r="G7">
            <v>37</v>
          </cell>
          <cell r="H7">
            <v>1</v>
          </cell>
          <cell r="I7">
            <v>0.96</v>
          </cell>
          <cell r="J7">
            <v>0.96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30</v>
          </cell>
          <cell r="Q7">
            <v>30</v>
          </cell>
          <cell r="R7">
            <v>1</v>
          </cell>
          <cell r="S7" t="str">
            <v>-</v>
          </cell>
          <cell r="T7" t="str">
            <v>RTL:
POST:
FPGA: F3에서 ISR을 수행하여 F1과 merge한 결과임</v>
          </cell>
        </row>
      </sheetData>
      <sheetData sheetId="1"/>
      <sheetData sheetId="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D052</v>
          </cell>
        </row>
        <row r="7">
          <cell r="C7" t="str">
            <v>MACC</v>
          </cell>
          <cell r="D7" t="str">
            <v>안병욱 선임</v>
          </cell>
          <cell r="E7" t="str">
            <v>이현주 선임</v>
          </cell>
          <cell r="F7">
            <v>33</v>
          </cell>
          <cell r="G7">
            <v>33</v>
          </cell>
          <cell r="H7">
            <v>1</v>
          </cell>
          <cell r="I7">
            <v>0.92910000000000004</v>
          </cell>
          <cell r="J7">
            <v>0.92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25</v>
          </cell>
          <cell r="Q7">
            <v>25</v>
          </cell>
          <cell r="R7">
            <v>1</v>
          </cell>
          <cell r="S7" t="str">
            <v>-</v>
          </cell>
          <cell r="T7" t="str">
            <v xml:space="preserve">RTL: 
POST: 
FPGA: 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d040</v>
          </cell>
        </row>
        <row r="7">
          <cell r="C7" t="str">
            <v>Backbone</v>
          </cell>
          <cell r="D7" t="str">
            <v>이학대 책임</v>
          </cell>
          <cell r="E7" t="str">
            <v>이학대 책임</v>
          </cell>
          <cell r="F7">
            <v>5</v>
          </cell>
          <cell r="G7">
            <v>5</v>
          </cell>
          <cell r="H7">
            <v>1</v>
          </cell>
          <cell r="I7">
            <v>0.92530000000000001</v>
          </cell>
          <cell r="J7">
            <v>0.92530000000000001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>RTL:
POST:
FPGA: Master/Slave IP들의 동작검증으로 대체함</v>
          </cell>
        </row>
      </sheetData>
      <sheetData sheetId="1"/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d076</v>
          </cell>
        </row>
        <row r="7">
          <cell r="C7" t="str">
            <v>Buffer Manager</v>
          </cell>
          <cell r="D7" t="str">
            <v>송광종 책임</v>
          </cell>
          <cell r="E7" t="str">
            <v>조성엽 책임</v>
          </cell>
          <cell r="F7">
            <v>48</v>
          </cell>
          <cell r="G7">
            <v>48</v>
          </cell>
          <cell r="H7">
            <v>1</v>
          </cell>
          <cell r="I7">
            <v>0.96350000000000002</v>
          </cell>
          <cell r="J7">
            <v>0.96350000000000002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22</v>
          </cell>
          <cell r="Q7">
            <v>22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System Memory</v>
          </cell>
          <cell r="D7" t="str">
            <v>박승진 책임</v>
          </cell>
          <cell r="E7" t="str">
            <v>박승진 책임</v>
          </cell>
          <cell r="F7">
            <v>41</v>
          </cell>
          <cell r="G7">
            <v>41</v>
          </cell>
          <cell r="H7">
            <v>1</v>
          </cell>
          <cell r="I7">
            <v>0.97</v>
          </cell>
          <cell r="J7">
            <v>0.97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3</v>
          </cell>
          <cell r="Q7">
            <v>3</v>
          </cell>
          <cell r="R7">
            <v>1</v>
          </cell>
          <cell r="S7" t="str">
            <v>-</v>
          </cell>
          <cell r="T7" t="str">
            <v>RTL:
POST:
FPGA: Unipro/NFC/AMP/BM test에서 사용 되므로, CPU가 full range를 byte/half-word/word 단위로 SCAN 하는 테스트만 진행 하기로 결정 됨</v>
          </cell>
        </row>
      </sheetData>
      <sheetData sheetId="1"/>
      <sheetData sheetId="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Data Buffer</v>
          </cell>
          <cell r="D7" t="str">
            <v>박승진 책임</v>
          </cell>
          <cell r="E7" t="str">
            <v>박승진 책임</v>
          </cell>
          <cell r="F7">
            <v>42</v>
          </cell>
          <cell r="G7">
            <v>42</v>
          </cell>
          <cell r="H7">
            <v>1</v>
          </cell>
          <cell r="I7">
            <v>0.97</v>
          </cell>
          <cell r="J7">
            <v>0.97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3</v>
          </cell>
          <cell r="Q7">
            <v>3</v>
          </cell>
          <cell r="R7">
            <v>1</v>
          </cell>
          <cell r="S7" t="str">
            <v>-</v>
          </cell>
          <cell r="T7" t="str">
            <v>RTL:
POST:
FPGA: Unipro/NFC/AMP test에서 사용되기 때문에, CPU가 full range를 byte/half-word/word 단위로 scan 하는 테스트만 진행 하기로 결정 됨</v>
          </cell>
        </row>
      </sheetData>
      <sheetData sheetId="1"/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AMP</v>
          </cell>
          <cell r="D7" t="str">
            <v>박승진 책임</v>
          </cell>
          <cell r="E7" t="str">
            <v>정재형 책임</v>
          </cell>
          <cell r="F7">
            <v>68</v>
          </cell>
          <cell r="G7">
            <v>68</v>
          </cell>
          <cell r="H7">
            <v>1</v>
          </cell>
          <cell r="I7">
            <v>0.98</v>
          </cell>
          <cell r="J7">
            <v>0.98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68</v>
          </cell>
          <cell r="Q7">
            <v>68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d053</v>
          </cell>
        </row>
        <row r="7">
          <cell r="C7" t="str">
            <v>MTSE</v>
          </cell>
          <cell r="D7" t="str">
            <v>송광종 책임</v>
          </cell>
          <cell r="E7" t="str">
            <v>이현주 선임</v>
          </cell>
          <cell r="F7">
            <v>49</v>
          </cell>
          <cell r="G7">
            <v>49</v>
          </cell>
          <cell r="H7">
            <v>1</v>
          </cell>
          <cell r="I7">
            <v>0.997</v>
          </cell>
          <cell r="J7">
            <v>0.997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41</v>
          </cell>
          <cell r="Q7">
            <v>41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Timer</v>
          </cell>
          <cell r="D7" t="str">
            <v>이종용 선임</v>
          </cell>
          <cell r="E7" t="str">
            <v>윤동준 선임</v>
          </cell>
          <cell r="F7">
            <v>15</v>
          </cell>
          <cell r="G7">
            <v>15</v>
          </cell>
          <cell r="H7">
            <v>1</v>
          </cell>
          <cell r="I7">
            <v>0.93769999999999998</v>
          </cell>
          <cell r="J7">
            <v>0.86899999999999999</v>
          </cell>
          <cell r="K7" t="str">
            <v>-</v>
          </cell>
          <cell r="L7">
            <v>2</v>
          </cell>
          <cell r="M7" t="e">
            <v>#REF!</v>
          </cell>
          <cell r="N7" t="e">
            <v>#REF!</v>
          </cell>
          <cell r="O7" t="str">
            <v>-</v>
          </cell>
          <cell r="P7">
            <v>15</v>
          </cell>
          <cell r="Q7">
            <v>15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UART</v>
          </cell>
          <cell r="D7" t="str">
            <v>이종용 선임</v>
          </cell>
          <cell r="E7" t="str">
            <v>윤동준 선임</v>
          </cell>
          <cell r="F7">
            <v>27</v>
          </cell>
          <cell r="G7">
            <v>27</v>
          </cell>
          <cell r="H7">
            <v>1</v>
          </cell>
          <cell r="I7" t="str">
            <v>N/A</v>
          </cell>
          <cell r="J7" t="str">
            <v>N/A</v>
          </cell>
          <cell r="K7" t="str">
            <v>-</v>
          </cell>
          <cell r="L7">
            <v>1</v>
          </cell>
          <cell r="M7" t="e">
            <v>#REF!</v>
          </cell>
          <cell r="N7" t="e">
            <v>#REF!</v>
          </cell>
          <cell r="O7" t="str">
            <v>-</v>
          </cell>
          <cell r="P7">
            <v>24</v>
          </cell>
          <cell r="Q7">
            <v>24</v>
          </cell>
          <cell r="R7">
            <v>1</v>
          </cell>
          <cell r="S7" t="str">
            <v>-</v>
          </cell>
          <cell r="T7" t="str">
            <v xml:space="preserve">RTL: 도입 IP 로 netlist model 이기에 RTL coverage 측정이 realistic 하지 않음.  </v>
          </cell>
        </row>
      </sheetData>
      <sheetData sheetId="1"/>
      <sheetData sheetId="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GPIO</v>
          </cell>
          <cell r="D7" t="str">
            <v>이종용 선임</v>
          </cell>
          <cell r="E7" t="str">
            <v>조성엽 책임</v>
          </cell>
          <cell r="F7">
            <v>14</v>
          </cell>
          <cell r="G7">
            <v>14</v>
          </cell>
          <cell r="H7">
            <v>1</v>
          </cell>
          <cell r="I7" t="str">
            <v>N/A</v>
          </cell>
          <cell r="J7" t="str">
            <v>N/A</v>
          </cell>
          <cell r="K7" t="str">
            <v>-</v>
          </cell>
          <cell r="L7">
            <v>1</v>
          </cell>
          <cell r="M7" t="e">
            <v>#REF!</v>
          </cell>
          <cell r="N7" t="e">
            <v>#REF!</v>
          </cell>
          <cell r="O7" t="str">
            <v>-</v>
          </cell>
          <cell r="P7">
            <v>15</v>
          </cell>
          <cell r="Q7" t="e">
            <v>#REF!</v>
          </cell>
          <cell r="R7" t="e">
            <v>#REF!</v>
          </cell>
          <cell r="S7" t="str">
            <v>-</v>
          </cell>
          <cell r="T7" t="str">
            <v xml:space="preserve">RTL: 도입 IP로 netlist model이기에 RTL coverage 측정이 realistic 하지 않음. </v>
          </cell>
        </row>
      </sheetData>
      <sheetData sheetId="1"/>
      <sheetData sheetId="2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System Register</v>
          </cell>
          <cell r="D7" t="str">
            <v>지미옥 책임</v>
          </cell>
          <cell r="E7" t="str">
            <v>지미옥 책임</v>
          </cell>
          <cell r="F7">
            <v>84</v>
          </cell>
          <cell r="G7">
            <v>84</v>
          </cell>
          <cell r="H7">
            <v>1</v>
          </cell>
          <cell r="I7">
            <v>0.82</v>
          </cell>
          <cell r="J7">
            <v>0.8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7</v>
          </cell>
          <cell r="Q7">
            <v>6</v>
          </cell>
          <cell r="R7">
            <v>0.8571428571428571</v>
          </cell>
          <cell r="S7" t="str">
            <v>-</v>
          </cell>
          <cell r="T7" t="str">
            <v>RTL: control register 들로 이루어져, coverage 가 낮음.
POST:
FPGA: Register Read Write test 만 가능</v>
          </cell>
        </row>
      </sheetData>
      <sheetData sheetId="1"/>
      <sheetData sheetId="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Checklist_ufs+pmu"/>
      <sheetName val="BugList"/>
      <sheetName val="Sheet1"/>
    </sheetNames>
    <sheetDataSet>
      <sheetData sheetId="0">
        <row r="2">
          <cell r="S2" t="str">
            <v>REV01</v>
          </cell>
        </row>
        <row r="3">
          <cell r="S3" t="str">
            <v>dd79</v>
          </cell>
        </row>
        <row r="7">
          <cell r="C7" t="str">
            <v>PMU</v>
          </cell>
          <cell r="D7" t="str">
            <v>지미옥 책임</v>
          </cell>
          <cell r="E7" t="str">
            <v>정재형 책임</v>
          </cell>
          <cell r="F7">
            <v>94</v>
          </cell>
          <cell r="G7">
            <v>77</v>
          </cell>
          <cell r="H7">
            <v>0.81914893617021278</v>
          </cell>
          <cell r="I7">
            <v>0.92</v>
          </cell>
          <cell r="J7">
            <v>0.91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48</v>
          </cell>
          <cell r="Q7">
            <v>25</v>
          </cell>
          <cell r="R7">
            <v>0.52083333333333337</v>
          </cell>
          <cell r="S7" t="str">
            <v>-</v>
          </cell>
          <cell r="T7" t="str">
            <v xml:space="preserve">RTL: F3 진행 중.
POST:
FPGA: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Clock Con</v>
          </cell>
          <cell r="D7" t="str">
            <v>지미옥 책임</v>
          </cell>
          <cell r="E7" t="str">
            <v>지미옥 책임</v>
          </cell>
          <cell r="F7">
            <v>11</v>
          </cell>
          <cell r="G7">
            <v>11</v>
          </cell>
          <cell r="H7">
            <v>1</v>
          </cell>
          <cell r="I7">
            <v>0.91</v>
          </cell>
          <cell r="J7">
            <v>0.91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>RTL:
POST:
FPGA: test 불가능</v>
          </cell>
        </row>
      </sheetData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Reset Con</v>
          </cell>
          <cell r="D7" t="str">
            <v>지미옥 책임</v>
          </cell>
          <cell r="E7" t="str">
            <v>지미옥 책임</v>
          </cell>
          <cell r="F7">
            <v>14</v>
          </cell>
          <cell r="G7">
            <v>14</v>
          </cell>
          <cell r="H7">
            <v>1</v>
          </cell>
          <cell r="I7">
            <v>0.83</v>
          </cell>
          <cell r="J7">
            <v>0.81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>
            <v>6</v>
          </cell>
          <cell r="Q7">
            <v>5</v>
          </cell>
          <cell r="R7">
            <v>0.83333333333333337</v>
          </cell>
          <cell r="S7" t="str">
            <v>-</v>
          </cell>
          <cell r="T7" t="str">
            <v xml:space="preserve">RTL: 
1) F1/F3 coverage :  test mode 가 off 되어있어, coverage 에 반영 안됨. (test mode 는  test coverage 로 check 됨.)
POST:
FPGA: </v>
          </cell>
        </row>
      </sheetData>
      <sheetData sheetId="1"/>
      <sheetData sheetId="2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M-PHY</v>
          </cell>
          <cell r="D7" t="str">
            <v>김현욱 선임</v>
          </cell>
          <cell r="E7" t="str">
            <v>김현욱 선임</v>
          </cell>
          <cell r="F7">
            <v>30</v>
          </cell>
          <cell r="G7">
            <v>26</v>
          </cell>
          <cell r="H7">
            <v>0.8666666666666667</v>
          </cell>
          <cell r="I7" t="str">
            <v>N/A</v>
          </cell>
          <cell r="J7" t="str">
            <v>N/A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Nand PHY</v>
          </cell>
          <cell r="D7" t="str">
            <v>천동엽 선임</v>
          </cell>
          <cell r="E7" t="str">
            <v>천동엽 선임</v>
          </cell>
          <cell r="F7">
            <v>5</v>
          </cell>
          <cell r="G7">
            <v>5</v>
          </cell>
          <cell r="H7">
            <v>1</v>
          </cell>
          <cell r="I7" t="str">
            <v>N/A</v>
          </cell>
          <cell r="J7" t="str">
            <v>N/A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 xml:space="preserve">RTL: 
POST:
FPGA: </v>
          </cell>
        </row>
      </sheetData>
      <sheetData sheetId="1"/>
      <sheetData sheetId="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ONFI IO</v>
          </cell>
          <cell r="D7" t="str">
            <v>안레센 선임</v>
          </cell>
          <cell r="E7" t="str">
            <v>안레센 선임</v>
          </cell>
          <cell r="F7">
            <v>7</v>
          </cell>
          <cell r="G7">
            <v>7</v>
          </cell>
          <cell r="H7">
            <v>1</v>
          </cell>
          <cell r="I7">
            <v>0.72</v>
          </cell>
          <cell r="J7">
            <v>0.72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 xml:space="preserve">IO 계약이 진행 중 / 추후 update하겠음
RTL:
POST:
FPGA: </v>
          </cell>
        </row>
      </sheetData>
      <sheetData sheetId="1"/>
      <sheetData sheetId="2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Test IO Mux</v>
          </cell>
          <cell r="D7" t="str">
            <v>이광순 선임</v>
          </cell>
          <cell r="E7" t="str">
            <v>이광순 선임</v>
          </cell>
          <cell r="F7">
            <v>14</v>
          </cell>
          <cell r="G7">
            <v>14</v>
          </cell>
          <cell r="H7">
            <v>1</v>
          </cell>
          <cell r="I7" t="str">
            <v>N/A</v>
          </cell>
          <cell r="J7">
            <v>0.88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>RTL: coverage -&gt; expression 기준
POST:
FPGA: N/A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eFuse Con</v>
          </cell>
          <cell r="D7" t="str">
            <v>박재한 책임</v>
          </cell>
          <cell r="E7" t="str">
            <v>박재한 책임</v>
          </cell>
          <cell r="F7">
            <v>10</v>
          </cell>
          <cell r="G7">
            <v>10</v>
          </cell>
          <cell r="H7">
            <v>1</v>
          </cell>
          <cell r="I7">
            <v>0.95</v>
          </cell>
          <cell r="J7">
            <v>0.95</v>
          </cell>
          <cell r="K7" t="str">
            <v>-</v>
          </cell>
          <cell r="L7">
            <v>3</v>
          </cell>
          <cell r="M7">
            <v>0</v>
          </cell>
          <cell r="N7">
            <v>0</v>
          </cell>
          <cell r="O7" t="str">
            <v>-</v>
          </cell>
          <cell r="P7">
            <v>5</v>
          </cell>
          <cell r="Q7">
            <v>5</v>
          </cell>
          <cell r="R7">
            <v>1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HW Bypass</v>
          </cell>
          <cell r="D7" t="str">
            <v>안영규 책임</v>
          </cell>
          <cell r="E7" t="str">
            <v>이광순 선임</v>
          </cell>
          <cell r="F7">
            <v>47</v>
          </cell>
          <cell r="G7">
            <v>47</v>
          </cell>
          <cell r="H7">
            <v>1</v>
          </cell>
          <cell r="I7" t="str">
            <v>N/A</v>
          </cell>
          <cell r="J7" t="str">
            <v>N/A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-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Analog IP</v>
          </cell>
          <cell r="D7" t="str">
            <v>양창호 선임</v>
          </cell>
          <cell r="E7" t="str">
            <v>양창호 선임</v>
          </cell>
          <cell r="F7">
            <v>21</v>
          </cell>
          <cell r="G7">
            <v>19</v>
          </cell>
          <cell r="H7">
            <v>0.90476190476190477</v>
          </cell>
          <cell r="I7" t="str">
            <v>N/A</v>
          </cell>
          <cell r="J7" t="str">
            <v>N/A</v>
          </cell>
          <cell r="K7" t="str">
            <v>-</v>
          </cell>
          <cell r="L7" t="str">
            <v>N/A</v>
          </cell>
          <cell r="M7" t="str">
            <v>N/A</v>
          </cell>
          <cell r="N7" t="str">
            <v>N/A</v>
          </cell>
          <cell r="O7" t="str">
            <v>N/A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N/A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CheckList"/>
      <sheetName val="BugList"/>
    </sheetNames>
    <sheetDataSet>
      <sheetData sheetId="0">
        <row r="2">
          <cell r="S2" t="str">
            <v>REV01</v>
          </cell>
        </row>
        <row r="3">
          <cell r="S3" t="str">
            <v>XXXX</v>
          </cell>
        </row>
        <row r="7">
          <cell r="C7" t="str">
            <v>Token Gen</v>
          </cell>
          <cell r="D7" t="str">
            <v>안레센 선임</v>
          </cell>
          <cell r="E7" t="str">
            <v>안레센 선임</v>
          </cell>
          <cell r="F7">
            <v>8</v>
          </cell>
          <cell r="G7">
            <v>8</v>
          </cell>
          <cell r="H7">
            <v>1</v>
          </cell>
          <cell r="I7">
            <v>0.72</v>
          </cell>
          <cell r="J7">
            <v>0.72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 t="str">
            <v>-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O</v>
          </cell>
          <cell r="T7" t="str">
            <v xml:space="preserve">RTL:
POST:
FPGA: 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xxx.xxx@sk.com" TargetMode="External"/><Relationship Id="rId2" Type="http://schemas.openxmlformats.org/officeDocument/2006/relationships/hyperlink" Target="mailto:xxx.xxx@sk.com" TargetMode="External"/><Relationship Id="rId1" Type="http://schemas.openxmlformats.org/officeDocument/2006/relationships/hyperlink" Target="mailto:xxx.xxx@sk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4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openxmlformats.org/officeDocument/2006/relationships/image" Target="../media/image2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Relationship Id="rId5" Type="http://schemas.openxmlformats.org/officeDocument/2006/relationships/comments" Target="../comments5.xml"/><Relationship Id="rId4" Type="http://schemas.openxmlformats.org/officeDocument/2006/relationships/image" Target="../media/image2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3.xml"/><Relationship Id="rId4" Type="http://schemas.openxmlformats.org/officeDocument/2006/relationships/image" Target="../media/image2.emf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R46"/>
  <sheetViews>
    <sheetView showGridLines="0" tabSelected="1" zoomScale="90" zoomScaleNormal="90" workbookViewId="0">
      <selection activeCell="AF6" sqref="AF6"/>
    </sheetView>
  </sheetViews>
  <sheetFormatPr defaultRowHeight="12" outlineLevelCol="1" x14ac:dyDescent="0.3"/>
  <cols>
    <col min="1" max="1" width="1.25" style="102" customWidth="1"/>
    <col min="2" max="2" width="4" style="102" bestFit="1" customWidth="1"/>
    <col min="3" max="3" width="18.75" style="102" bestFit="1" customWidth="1"/>
    <col min="4" max="5" width="9.875" style="102" hidden="1" customWidth="1" outlineLevel="1"/>
    <col min="6" max="6" width="0.5" style="139" customWidth="1" collapsed="1"/>
    <col min="7" max="11" width="5.875" style="102" hidden="1" customWidth="1"/>
    <col min="12" max="12" width="6.75" style="102" hidden="1" customWidth="1"/>
    <col min="13" max="13" width="8.25" style="102" hidden="1" customWidth="1"/>
    <col min="14" max="14" width="8.125" style="102" hidden="1" customWidth="1"/>
    <col min="15" max="15" width="7.25" style="102" hidden="1" customWidth="1"/>
    <col min="16" max="18" width="5.25" style="102" hidden="1" customWidth="1"/>
    <col min="19" max="19" width="8.125" style="102" hidden="1" customWidth="1"/>
    <col min="20" max="20" width="9.875" style="102" customWidth="1"/>
    <col min="21" max="21" width="0.5" style="139" customWidth="1"/>
    <col min="22" max="22" width="5.875" style="102" hidden="1" customWidth="1"/>
    <col min="23" max="23" width="7.375" style="102" hidden="1" customWidth="1"/>
    <col min="24" max="24" width="8.125" style="102" hidden="1" customWidth="1"/>
    <col min="25" max="25" width="9.875" style="102" customWidth="1"/>
    <col min="26" max="26" width="12.875" style="102" hidden="1" customWidth="1"/>
    <col min="27" max="27" width="0.5" style="139" customWidth="1"/>
    <col min="28" max="28" width="5.75" style="102" hidden="1" customWidth="1" outlineLevel="1"/>
    <col min="29" max="29" width="6.375" style="102" hidden="1" customWidth="1" outlineLevel="1"/>
    <col min="30" max="30" width="8.125" style="102" hidden="1" customWidth="1" outlineLevel="1"/>
    <col min="31" max="31" width="5.25" style="102" hidden="1" customWidth="1" outlineLevel="1"/>
    <col min="32" max="32" width="9.875" style="102" customWidth="1" collapsed="1"/>
    <col min="33" max="33" width="0.5" style="139" customWidth="1" outlineLevel="1"/>
    <col min="34" max="34" width="5.75" style="102" hidden="1" customWidth="1" outlineLevel="1"/>
    <col min="35" max="35" width="6.375" style="102" hidden="1" customWidth="1" outlineLevel="1"/>
    <col min="36" max="36" width="8.125" style="102" hidden="1" customWidth="1" outlineLevel="1"/>
    <col min="37" max="37" width="9.875" style="102" customWidth="1" collapsed="1"/>
    <col min="38" max="38" width="5.25" style="102" hidden="1" customWidth="1" outlineLevel="1"/>
    <col min="39" max="39" width="0.5" style="140" customWidth="1" outlineLevel="1"/>
    <col min="40" max="40" width="8" style="102" hidden="1" customWidth="1"/>
    <col min="41" max="43" width="5.625" style="102" hidden="1" customWidth="1"/>
    <col min="44" max="44" width="37.375" style="102" hidden="1" customWidth="1"/>
    <col min="45" max="46" width="0" style="102" hidden="1" customWidth="1"/>
    <col min="47" max="16384" width="9" style="102"/>
  </cols>
  <sheetData>
    <row r="1" spans="2:44" ht="5.25" customHeight="1" x14ac:dyDescent="0.3"/>
    <row r="2" spans="2:44" ht="26.25" x14ac:dyDescent="0.3">
      <c r="B2" s="287" t="s">
        <v>73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185"/>
      <c r="AP2" s="288">
        <v>42138</v>
      </c>
      <c r="AQ2" s="288"/>
      <c r="AR2" s="288"/>
    </row>
    <row r="3" spans="2:44" ht="12" hidden="1" customHeight="1" x14ac:dyDescent="0.3">
      <c r="B3" s="290" t="s">
        <v>1</v>
      </c>
      <c r="C3" s="254" t="s">
        <v>2</v>
      </c>
      <c r="D3" s="292" t="s">
        <v>16</v>
      </c>
      <c r="E3" s="292" t="s">
        <v>17</v>
      </c>
      <c r="F3" s="145"/>
      <c r="G3" s="296" t="s">
        <v>36</v>
      </c>
      <c r="H3" s="302"/>
      <c r="I3" s="302"/>
      <c r="J3" s="302"/>
      <c r="K3" s="302"/>
      <c r="L3" s="302"/>
      <c r="M3" s="302"/>
      <c r="N3" s="302"/>
      <c r="O3" s="302"/>
      <c r="P3" s="295"/>
      <c r="Q3" s="255"/>
      <c r="R3" s="255"/>
      <c r="S3" s="255"/>
      <c r="T3" s="255"/>
      <c r="U3" s="144"/>
      <c r="V3" s="296" t="s">
        <v>14</v>
      </c>
      <c r="W3" s="302"/>
      <c r="X3" s="302"/>
      <c r="Y3" s="302"/>
      <c r="Z3" s="295"/>
      <c r="AA3" s="144"/>
      <c r="AB3" s="296" t="s">
        <v>37</v>
      </c>
      <c r="AC3" s="302"/>
      <c r="AD3" s="302"/>
      <c r="AE3" s="295"/>
      <c r="AF3" s="255"/>
      <c r="AG3" s="187"/>
      <c r="AH3" s="409" t="s">
        <v>38</v>
      </c>
      <c r="AI3" s="410"/>
      <c r="AJ3" s="410"/>
      <c r="AK3" s="410"/>
      <c r="AL3" s="411"/>
      <c r="AM3" s="189"/>
      <c r="AN3" s="296" t="s">
        <v>12</v>
      </c>
      <c r="AO3" s="302"/>
      <c r="AP3" s="302"/>
      <c r="AQ3" s="295"/>
      <c r="AR3" s="290" t="s">
        <v>9</v>
      </c>
    </row>
    <row r="4" spans="2:44" ht="12" hidden="1" customHeight="1" x14ac:dyDescent="0.3">
      <c r="B4" s="408"/>
      <c r="C4" s="250"/>
      <c r="D4" s="301"/>
      <c r="E4" s="301"/>
      <c r="F4" s="145"/>
      <c r="G4" s="296" t="s">
        <v>74</v>
      </c>
      <c r="H4" s="295"/>
      <c r="I4" s="296" t="s">
        <v>75</v>
      </c>
      <c r="J4" s="295"/>
      <c r="K4" s="296" t="s">
        <v>76</v>
      </c>
      <c r="L4" s="295"/>
      <c r="M4" s="250" t="s">
        <v>77</v>
      </c>
      <c r="N4" s="292" t="s">
        <v>40</v>
      </c>
      <c r="O4" s="292" t="s">
        <v>41</v>
      </c>
      <c r="P4" s="292" t="s">
        <v>10</v>
      </c>
      <c r="Q4" s="273"/>
      <c r="R4" s="273"/>
      <c r="S4" s="250" t="s">
        <v>39</v>
      </c>
      <c r="T4" s="273"/>
      <c r="U4" s="144"/>
      <c r="V4" s="250" t="s">
        <v>0</v>
      </c>
      <c r="W4" s="250" t="s">
        <v>7</v>
      </c>
      <c r="X4" s="250" t="s">
        <v>39</v>
      </c>
      <c r="Y4" s="273"/>
      <c r="Z4" s="252" t="s">
        <v>10</v>
      </c>
      <c r="AA4" s="144"/>
      <c r="AB4" s="250" t="s">
        <v>0</v>
      </c>
      <c r="AC4" s="250" t="s">
        <v>7</v>
      </c>
      <c r="AD4" s="250" t="s">
        <v>39</v>
      </c>
      <c r="AE4" s="252" t="s">
        <v>10</v>
      </c>
      <c r="AF4" s="273"/>
      <c r="AG4" s="187"/>
      <c r="AH4" s="249" t="s">
        <v>0</v>
      </c>
      <c r="AI4" s="250" t="s">
        <v>7</v>
      </c>
      <c r="AJ4" s="250" t="s">
        <v>39</v>
      </c>
      <c r="AK4" s="273"/>
      <c r="AL4" s="251" t="s">
        <v>10</v>
      </c>
      <c r="AM4" s="189"/>
      <c r="AN4" s="266" t="s">
        <v>19</v>
      </c>
      <c r="AO4" s="266" t="s">
        <v>5</v>
      </c>
      <c r="AP4" s="266" t="s">
        <v>14</v>
      </c>
      <c r="AQ4" s="266" t="s">
        <v>38</v>
      </c>
      <c r="AR4" s="408"/>
    </row>
    <row r="5" spans="2:44" ht="24" x14ac:dyDescent="0.3">
      <c r="B5" s="374"/>
      <c r="C5" s="250" t="s">
        <v>125</v>
      </c>
      <c r="D5" s="312"/>
      <c r="E5" s="312"/>
      <c r="F5" s="145"/>
      <c r="G5" s="154" t="s">
        <v>0</v>
      </c>
      <c r="H5" s="250" t="s">
        <v>7</v>
      </c>
      <c r="I5" s="154" t="s">
        <v>0</v>
      </c>
      <c r="J5" s="250" t="s">
        <v>7</v>
      </c>
      <c r="K5" s="154" t="s">
        <v>0</v>
      </c>
      <c r="L5" s="250" t="s">
        <v>7</v>
      </c>
      <c r="M5" s="250" t="s">
        <v>39</v>
      </c>
      <c r="N5" s="312"/>
      <c r="O5" s="312"/>
      <c r="P5" s="312"/>
      <c r="Q5" s="273" t="s">
        <v>126</v>
      </c>
      <c r="R5" s="273" t="s">
        <v>127</v>
      </c>
      <c r="S5" s="274" t="s">
        <v>134</v>
      </c>
      <c r="T5" s="273" t="s">
        <v>142</v>
      </c>
      <c r="U5" s="145"/>
      <c r="V5" s="274" t="s">
        <v>128</v>
      </c>
      <c r="W5" s="274" t="s">
        <v>129</v>
      </c>
      <c r="X5" s="274" t="s">
        <v>134</v>
      </c>
      <c r="Y5" s="273" t="s">
        <v>143</v>
      </c>
      <c r="Z5" s="273"/>
      <c r="AA5" s="145"/>
      <c r="AB5" s="274" t="s">
        <v>130</v>
      </c>
      <c r="AC5" s="274" t="s">
        <v>131</v>
      </c>
      <c r="AD5" s="274"/>
      <c r="AE5" s="273"/>
      <c r="AF5" s="273" t="s">
        <v>144</v>
      </c>
      <c r="AG5" s="188"/>
      <c r="AH5" s="412" t="s">
        <v>132</v>
      </c>
      <c r="AI5" s="274" t="s">
        <v>133</v>
      </c>
      <c r="AJ5" s="274"/>
      <c r="AK5" s="273" t="s">
        <v>145</v>
      </c>
      <c r="AL5" s="413"/>
      <c r="AM5" s="190"/>
      <c r="AN5" s="266"/>
      <c r="AO5" s="266"/>
      <c r="AP5" s="266"/>
      <c r="AQ5" s="266"/>
      <c r="AR5" s="374"/>
    </row>
    <row r="6" spans="2:44" ht="16.5" customHeight="1" x14ac:dyDescent="0.3">
      <c r="B6" s="114">
        <v>1</v>
      </c>
      <c r="C6" s="114" t="str">
        <f>[1]Summary!$B$7</f>
        <v>Cortex-M3</v>
      </c>
      <c r="D6" s="114" t="str">
        <f>[1]Summary!$C$7</f>
        <v>최호윤 수석</v>
      </c>
      <c r="E6" s="114" t="str">
        <f>[1]Summary!$D$7</f>
        <v>조성엽 책임</v>
      </c>
      <c r="F6" s="286"/>
      <c r="G6" s="114">
        <v>10</v>
      </c>
      <c r="H6" s="114">
        <v>10</v>
      </c>
      <c r="I6" s="114">
        <v>12</v>
      </c>
      <c r="J6" s="114">
        <v>5</v>
      </c>
      <c r="K6" s="114">
        <f>[1]Summary!$I$7</f>
        <v>0</v>
      </c>
      <c r="L6" s="115">
        <f>[1]Summary!$J$7</f>
        <v>0</v>
      </c>
      <c r="M6" s="116" t="str">
        <f>[1]Summary!$K$7</f>
        <v>-</v>
      </c>
      <c r="N6" s="116">
        <f>[1]Summary!$L$7</f>
        <v>0</v>
      </c>
      <c r="O6" s="116">
        <f>[1]Summary!$M$7</f>
        <v>0</v>
      </c>
      <c r="P6" s="114" t="str">
        <f>[1]Summary!$N$7</f>
        <v>-</v>
      </c>
      <c r="Q6" s="114">
        <f>G6+I6+K6</f>
        <v>22</v>
      </c>
      <c r="R6" s="115">
        <f>H6+J6+L6</f>
        <v>15</v>
      </c>
      <c r="S6" s="116">
        <f>R6/Q6</f>
        <v>0.68181818181818177</v>
      </c>
      <c r="T6" s="115"/>
      <c r="U6" s="286"/>
      <c r="V6" s="114">
        <v>30</v>
      </c>
      <c r="W6" s="115">
        <v>26</v>
      </c>
      <c r="X6" s="116">
        <f>W6/V6</f>
        <v>0.8666666666666667</v>
      </c>
      <c r="Y6" s="115"/>
      <c r="Z6" s="114" t="str">
        <f>[1]Summary!$R$7</f>
        <v>-</v>
      </c>
      <c r="AA6" s="286"/>
      <c r="AB6" s="114">
        <v>20</v>
      </c>
      <c r="AC6" s="115">
        <v>10</v>
      </c>
      <c r="AD6" s="116">
        <f>AC6/AB6</f>
        <v>0.5</v>
      </c>
      <c r="AE6" s="114" t="str">
        <f>[1]Summary!$V$7</f>
        <v>-</v>
      </c>
      <c r="AF6" s="115"/>
      <c r="AG6" s="286"/>
      <c r="AH6" s="114">
        <v>20</v>
      </c>
      <c r="AI6" s="115">
        <v>5</v>
      </c>
      <c r="AJ6" s="116">
        <f>AI6/AH6</f>
        <v>0.25</v>
      </c>
      <c r="AK6" s="115"/>
      <c r="AL6" s="114" t="str">
        <f>[1]Summary!$Z$7</f>
        <v>-</v>
      </c>
      <c r="AM6" s="174"/>
      <c r="AN6" s="143">
        <f>[1]Summary!$AA$7</f>
        <v>42138</v>
      </c>
      <c r="AO6" s="114" t="str">
        <f>[1]Summary!$AB$7</f>
        <v>?</v>
      </c>
      <c r="AP6" s="114" t="str">
        <f>[1]Summary!$AC$7</f>
        <v>?</v>
      </c>
      <c r="AQ6" s="114" t="str">
        <f>[1]Summary!$AD$7</f>
        <v>?</v>
      </c>
      <c r="AR6" s="117" t="str">
        <f>[1]Summary!$AE$7</f>
        <v xml:space="preserve">RTL:
POST:
FPGA: </v>
      </c>
    </row>
    <row r="7" spans="2:44" ht="16.5" customHeight="1" x14ac:dyDescent="0.3">
      <c r="B7" s="196">
        <v>2</v>
      </c>
      <c r="C7" s="196" t="str">
        <f>[2]Summary!$B$7</f>
        <v>HCT</v>
      </c>
      <c r="D7" s="196" t="str">
        <f>[2]Summary!$C$7</f>
        <v>이원규 선임</v>
      </c>
      <c r="E7" s="196" t="str">
        <f>[2]Summary!$D$7</f>
        <v>박재우 책임</v>
      </c>
      <c r="F7" s="286"/>
      <c r="G7" s="196">
        <v>15</v>
      </c>
      <c r="H7" s="196">
        <v>5</v>
      </c>
      <c r="I7" s="196">
        <v>12</v>
      </c>
      <c r="J7" s="196">
        <v>5</v>
      </c>
      <c r="K7" s="196">
        <f>[2]Summary!$I$7</f>
        <v>0</v>
      </c>
      <c r="L7" s="199">
        <f>[2]Summary!$J$7</f>
        <v>0</v>
      </c>
      <c r="M7" s="200" t="str">
        <f>[2]Summary!$K$7</f>
        <v>-</v>
      </c>
      <c r="N7" s="200">
        <f>[2]Summary!$L$7</f>
        <v>0</v>
      </c>
      <c r="O7" s="200">
        <f>[2]Summary!$M$7</f>
        <v>0</v>
      </c>
      <c r="P7" s="196" t="str">
        <f>[2]Summary!$N$7</f>
        <v>-</v>
      </c>
      <c r="Q7" s="196">
        <f t="shared" ref="Q7:Q33" si="0">G7+I7+K7</f>
        <v>27</v>
      </c>
      <c r="R7" s="115">
        <f t="shared" ref="R7:R33" si="1">H7+J7+L7</f>
        <v>10</v>
      </c>
      <c r="S7" s="200">
        <f t="shared" ref="S7:S33" si="2">R7/Q7</f>
        <v>0.37037037037037035</v>
      </c>
      <c r="T7" s="115"/>
      <c r="U7" s="286"/>
      <c r="V7" s="196">
        <v>40</v>
      </c>
      <c r="W7" s="199">
        <v>25</v>
      </c>
      <c r="X7" s="200">
        <f t="shared" ref="X7:X33" si="3">W7/V7</f>
        <v>0.625</v>
      </c>
      <c r="Y7" s="115"/>
      <c r="Z7" s="196" t="str">
        <f>[2]Summary!$R$7</f>
        <v>-</v>
      </c>
      <c r="AA7" s="286"/>
      <c r="AB7" s="196">
        <v>30</v>
      </c>
      <c r="AC7" s="199">
        <v>20</v>
      </c>
      <c r="AD7" s="200">
        <f t="shared" ref="AD7:AD33" si="4">AC7/AB7</f>
        <v>0.66666666666666663</v>
      </c>
      <c r="AE7" s="196" t="str">
        <f>[2]Summary!$V$7</f>
        <v>-</v>
      </c>
      <c r="AF7" s="115"/>
      <c r="AG7" s="286"/>
      <c r="AH7" s="196">
        <v>30</v>
      </c>
      <c r="AI7" s="199">
        <v>2</v>
      </c>
      <c r="AJ7" s="200">
        <f t="shared" ref="AJ7:AJ33" si="5">AI7/AH7</f>
        <v>6.6666666666666666E-2</v>
      </c>
      <c r="AK7" s="115"/>
      <c r="AL7" s="196" t="str">
        <f>[2]Summary!$Z$7</f>
        <v>-</v>
      </c>
      <c r="AM7" s="174"/>
      <c r="AN7" s="201">
        <f>[2]Summary!$AA$7</f>
        <v>42138</v>
      </c>
      <c r="AO7" s="196" t="str">
        <f>[2]Summary!$AB$7</f>
        <v>?</v>
      </c>
      <c r="AP7" s="196" t="str">
        <f>[2]Summary!$AC$7</f>
        <v>?</v>
      </c>
      <c r="AQ7" s="196" t="str">
        <f>[2]Summary!$AD$7</f>
        <v>?</v>
      </c>
      <c r="AR7" s="202" t="str">
        <f>[2]Summary!$AE$7</f>
        <v xml:space="preserve">RTL:
POST:
FPGA: </v>
      </c>
    </row>
    <row r="8" spans="2:44" ht="16.5" customHeight="1" x14ac:dyDescent="0.3">
      <c r="B8" s="114">
        <v>3</v>
      </c>
      <c r="C8" s="114" t="str">
        <f>[3]Summary!$B$7</f>
        <v>FCT</v>
      </c>
      <c r="D8" s="114" t="str">
        <f>[3]Summary!$C$7</f>
        <v>천동엽 책임</v>
      </c>
      <c r="E8" s="114" t="str">
        <f>[3]Summary!$D$7</f>
        <v>조성엽 책임</v>
      </c>
      <c r="F8" s="286"/>
      <c r="G8" s="114">
        <v>20</v>
      </c>
      <c r="H8" s="114">
        <v>18</v>
      </c>
      <c r="I8" s="114">
        <v>20</v>
      </c>
      <c r="J8" s="114">
        <v>15</v>
      </c>
      <c r="K8" s="114">
        <f>[3]Summary!$I$7</f>
        <v>0</v>
      </c>
      <c r="L8" s="115">
        <f>[3]Summary!$J$7</f>
        <v>0</v>
      </c>
      <c r="M8" s="116" t="str">
        <f>[3]Summary!$K$7</f>
        <v>-</v>
      </c>
      <c r="N8" s="116">
        <f>[3]Summary!$L$7</f>
        <v>0</v>
      </c>
      <c r="O8" s="116">
        <f>[3]Summary!$M$7</f>
        <v>0</v>
      </c>
      <c r="P8" s="114" t="str">
        <f>[3]Summary!$N$7</f>
        <v>-</v>
      </c>
      <c r="Q8" s="114">
        <f t="shared" si="0"/>
        <v>40</v>
      </c>
      <c r="R8" s="115">
        <f t="shared" si="1"/>
        <v>33</v>
      </c>
      <c r="S8" s="116">
        <f t="shared" si="2"/>
        <v>0.82499999999999996</v>
      </c>
      <c r="T8" s="115"/>
      <c r="U8" s="286"/>
      <c r="V8" s="114">
        <v>30</v>
      </c>
      <c r="W8" s="115">
        <v>30</v>
      </c>
      <c r="X8" s="116">
        <f t="shared" si="3"/>
        <v>1</v>
      </c>
      <c r="Y8" s="115"/>
      <c r="Z8" s="114" t="str">
        <f>[3]Summary!$R$7</f>
        <v>-</v>
      </c>
      <c r="AA8" s="286"/>
      <c r="AB8" s="114">
        <v>30</v>
      </c>
      <c r="AC8" s="115">
        <v>25</v>
      </c>
      <c r="AD8" s="116">
        <f t="shared" si="4"/>
        <v>0.83333333333333337</v>
      </c>
      <c r="AE8" s="114" t="str">
        <f>[3]Summary!$V$7</f>
        <v>-</v>
      </c>
      <c r="AF8" s="115"/>
      <c r="AG8" s="286"/>
      <c r="AH8" s="114">
        <v>30</v>
      </c>
      <c r="AI8" s="115">
        <v>3</v>
      </c>
      <c r="AJ8" s="116">
        <f t="shared" si="5"/>
        <v>0.1</v>
      </c>
      <c r="AK8" s="115"/>
      <c r="AL8" s="114" t="str">
        <f>[3]Summary!$Z$7</f>
        <v>-</v>
      </c>
      <c r="AM8" s="174"/>
      <c r="AN8" s="143">
        <f>[3]Summary!$AA$7</f>
        <v>42138</v>
      </c>
      <c r="AO8" s="114" t="str">
        <f>[3]Summary!$AB$7</f>
        <v>?</v>
      </c>
      <c r="AP8" s="114" t="str">
        <f>[3]Summary!$AC$7</f>
        <v>?</v>
      </c>
      <c r="AQ8" s="114" t="str">
        <f>[3]Summary!$AD$7</f>
        <v>?</v>
      </c>
      <c r="AR8" s="117" t="str">
        <f>[3]Summary!$AE$7</f>
        <v xml:space="preserve">RTL:
POST:
FPGA: </v>
      </c>
    </row>
    <row r="9" spans="2:44" ht="16.5" customHeight="1" x14ac:dyDescent="0.3">
      <c r="B9" s="196">
        <v>4</v>
      </c>
      <c r="C9" s="196" t="str">
        <f>[4]Summary!$B$7</f>
        <v>Buffer Manager</v>
      </c>
      <c r="D9" s="196" t="str">
        <f>[4]Summary!$C$7</f>
        <v>지대근 책임</v>
      </c>
      <c r="E9" s="196" t="str">
        <f>[4]Summary!$D$7</f>
        <v>조성엽 책임</v>
      </c>
      <c r="F9" s="286"/>
      <c r="G9" s="196">
        <v>15</v>
      </c>
      <c r="H9" s="196">
        <v>10</v>
      </c>
      <c r="I9" s="196">
        <v>30</v>
      </c>
      <c r="J9" s="196">
        <v>20</v>
      </c>
      <c r="K9" s="196">
        <f>[4]Summary!$I$7</f>
        <v>0</v>
      </c>
      <c r="L9" s="199">
        <f>[4]Summary!$J$7</f>
        <v>0</v>
      </c>
      <c r="M9" s="200" t="str">
        <f>[4]Summary!$K$7</f>
        <v>-</v>
      </c>
      <c r="N9" s="200">
        <f>[4]Summary!$L$7</f>
        <v>0</v>
      </c>
      <c r="O9" s="200">
        <f>[4]Summary!$M$7</f>
        <v>0</v>
      </c>
      <c r="P9" s="196" t="str">
        <f>[4]Summary!$N$7</f>
        <v>-</v>
      </c>
      <c r="Q9" s="196">
        <f t="shared" si="0"/>
        <v>45</v>
      </c>
      <c r="R9" s="115">
        <f t="shared" si="1"/>
        <v>30</v>
      </c>
      <c r="S9" s="200">
        <f t="shared" si="2"/>
        <v>0.66666666666666663</v>
      </c>
      <c r="T9" s="115"/>
      <c r="U9" s="286"/>
      <c r="V9" s="196">
        <v>20</v>
      </c>
      <c r="W9" s="199">
        <v>20</v>
      </c>
      <c r="X9" s="200">
        <f t="shared" si="3"/>
        <v>1</v>
      </c>
      <c r="Y9" s="115"/>
      <c r="Z9" s="196" t="str">
        <f>[4]Summary!$R$7</f>
        <v>-</v>
      </c>
      <c r="AA9" s="286"/>
      <c r="AB9" s="196">
        <v>40</v>
      </c>
      <c r="AC9" s="199">
        <v>30</v>
      </c>
      <c r="AD9" s="200">
        <f t="shared" si="4"/>
        <v>0.75</v>
      </c>
      <c r="AE9" s="196" t="str">
        <f>[4]Summary!$V$7</f>
        <v>-</v>
      </c>
      <c r="AF9" s="115"/>
      <c r="AG9" s="286"/>
      <c r="AH9" s="196">
        <v>30</v>
      </c>
      <c r="AI9" s="199">
        <v>2</v>
      </c>
      <c r="AJ9" s="200">
        <f t="shared" si="5"/>
        <v>6.6666666666666666E-2</v>
      </c>
      <c r="AK9" s="115"/>
      <c r="AL9" s="196" t="str">
        <f>[4]Summary!$Z$7</f>
        <v>-</v>
      </c>
      <c r="AM9" s="174"/>
      <c r="AN9" s="201">
        <f>[4]Summary!$AA$7</f>
        <v>42138</v>
      </c>
      <c r="AO9" s="196" t="str">
        <f>[4]Summary!$AB$7</f>
        <v>?</v>
      </c>
      <c r="AP9" s="196" t="str">
        <f>[4]Summary!$AC$7</f>
        <v>?</v>
      </c>
      <c r="AQ9" s="196" t="str">
        <f>[4]Summary!$AD$7</f>
        <v>?</v>
      </c>
      <c r="AR9" s="202" t="str">
        <f>[4]Summary!$AE$7</f>
        <v xml:space="preserve">RTL:
POST:
FPGA: </v>
      </c>
    </row>
    <row r="10" spans="2:44" ht="16.5" customHeight="1" x14ac:dyDescent="0.3">
      <c r="B10" s="114">
        <v>5</v>
      </c>
      <c r="C10" s="114" t="str">
        <f>[5]Summary!$B$7</f>
        <v>Search Engine</v>
      </c>
      <c r="D10" s="114" t="str">
        <f>[5]Summary!$C$7</f>
        <v>김현욱 선임</v>
      </c>
      <c r="E10" s="114" t="str">
        <f>[5]Summary!$D$7</f>
        <v>김현욱 선임</v>
      </c>
      <c r="F10" s="286"/>
      <c r="G10" s="114">
        <v>20</v>
      </c>
      <c r="H10" s="114">
        <v>16</v>
      </c>
      <c r="I10" s="114">
        <v>15</v>
      </c>
      <c r="J10" s="114">
        <v>10</v>
      </c>
      <c r="K10" s="114">
        <f>[5]Summary!$I$7</f>
        <v>0</v>
      </c>
      <c r="L10" s="115">
        <f>[5]Summary!$J$7</f>
        <v>0</v>
      </c>
      <c r="M10" s="116" t="str">
        <f>[5]Summary!$K$7</f>
        <v>-</v>
      </c>
      <c r="N10" s="116">
        <f>[5]Summary!$L$7</f>
        <v>0</v>
      </c>
      <c r="O10" s="116">
        <f>[5]Summary!$M$7</f>
        <v>0</v>
      </c>
      <c r="P10" s="114" t="str">
        <f>[5]Summary!$N$7</f>
        <v>-</v>
      </c>
      <c r="Q10" s="114">
        <f t="shared" si="0"/>
        <v>35</v>
      </c>
      <c r="R10" s="115">
        <f t="shared" si="1"/>
        <v>26</v>
      </c>
      <c r="S10" s="116">
        <f t="shared" si="2"/>
        <v>0.74285714285714288</v>
      </c>
      <c r="T10" s="115"/>
      <c r="U10" s="286"/>
      <c r="V10" s="114">
        <v>20</v>
      </c>
      <c r="W10" s="115">
        <v>20</v>
      </c>
      <c r="X10" s="116">
        <f t="shared" si="3"/>
        <v>1</v>
      </c>
      <c r="Y10" s="115"/>
      <c r="Z10" s="114" t="str">
        <f>[5]Summary!$R$7</f>
        <v>-</v>
      </c>
      <c r="AA10" s="286"/>
      <c r="AB10" s="114">
        <v>20</v>
      </c>
      <c r="AC10" s="115">
        <v>15</v>
      </c>
      <c r="AD10" s="116">
        <f t="shared" si="4"/>
        <v>0.75</v>
      </c>
      <c r="AE10" s="114" t="str">
        <f>[5]Summary!$V$7</f>
        <v>-</v>
      </c>
      <c r="AF10" s="115"/>
      <c r="AG10" s="286"/>
      <c r="AH10" s="114">
        <v>30</v>
      </c>
      <c r="AI10" s="115">
        <v>2</v>
      </c>
      <c r="AJ10" s="116">
        <f t="shared" si="5"/>
        <v>6.6666666666666666E-2</v>
      </c>
      <c r="AK10" s="115"/>
      <c r="AL10" s="114" t="str">
        <f>[5]Summary!$Z$7</f>
        <v>-</v>
      </c>
      <c r="AM10" s="174"/>
      <c r="AN10" s="143">
        <f>[5]Summary!$AA$7</f>
        <v>42138</v>
      </c>
      <c r="AO10" s="114" t="str">
        <f>[5]Summary!$AB$7</f>
        <v>?</v>
      </c>
      <c r="AP10" s="114" t="str">
        <f>[5]Summary!$AC$7</f>
        <v>?</v>
      </c>
      <c r="AQ10" s="114" t="str">
        <f>[5]Summary!$AD$7</f>
        <v>?</v>
      </c>
      <c r="AR10" s="117" t="str">
        <f>[5]Summary!$AE$7</f>
        <v xml:space="preserve">RTL:
POST:
FPGA: </v>
      </c>
    </row>
    <row r="11" spans="2:44" ht="16.5" customHeight="1" x14ac:dyDescent="0.3">
      <c r="B11" s="196">
        <v>6</v>
      </c>
      <c r="C11" s="196" t="str">
        <f>[6]Summary!$B$7</f>
        <v>MTSE</v>
      </c>
      <c r="D11" s="196" t="str">
        <f>[6]Summary!$C$7</f>
        <v>김현욱 선임</v>
      </c>
      <c r="E11" s="196" t="str">
        <f>[6]Summary!$D$7</f>
        <v>김현욱 선임</v>
      </c>
      <c r="F11" s="286"/>
      <c r="G11" s="196">
        <v>15</v>
      </c>
      <c r="H11" s="196">
        <v>14</v>
      </c>
      <c r="I11" s="196">
        <v>20</v>
      </c>
      <c r="J11" s="196">
        <v>15</v>
      </c>
      <c r="K11" s="196">
        <f>[6]Summary!$I$7</f>
        <v>0</v>
      </c>
      <c r="L11" s="199">
        <f>[6]Summary!$J$7</f>
        <v>0</v>
      </c>
      <c r="M11" s="200" t="str">
        <f>[6]Summary!$K$7</f>
        <v>-</v>
      </c>
      <c r="N11" s="200">
        <f>[6]Summary!$L$7</f>
        <v>0</v>
      </c>
      <c r="O11" s="200">
        <f>[6]Summary!$M$7</f>
        <v>0</v>
      </c>
      <c r="P11" s="196" t="str">
        <f>[6]Summary!$N$7</f>
        <v>-</v>
      </c>
      <c r="Q11" s="196">
        <f t="shared" si="0"/>
        <v>35</v>
      </c>
      <c r="R11" s="115">
        <f t="shared" si="1"/>
        <v>29</v>
      </c>
      <c r="S11" s="200">
        <f t="shared" si="2"/>
        <v>0.82857142857142863</v>
      </c>
      <c r="T11" s="115"/>
      <c r="U11" s="286"/>
      <c r="V11" s="196">
        <v>30</v>
      </c>
      <c r="W11" s="199">
        <v>25</v>
      </c>
      <c r="X11" s="200">
        <f t="shared" si="3"/>
        <v>0.83333333333333337</v>
      </c>
      <c r="Y11" s="115"/>
      <c r="Z11" s="196" t="str">
        <f>[6]Summary!$R$7</f>
        <v>-</v>
      </c>
      <c r="AA11" s="286"/>
      <c r="AB11" s="196">
        <v>20</v>
      </c>
      <c r="AC11" s="199">
        <v>15</v>
      </c>
      <c r="AD11" s="200">
        <f t="shared" si="4"/>
        <v>0.75</v>
      </c>
      <c r="AE11" s="196" t="str">
        <f>[6]Summary!$V$7</f>
        <v>-</v>
      </c>
      <c r="AF11" s="115"/>
      <c r="AG11" s="286"/>
      <c r="AH11" s="196">
        <v>30</v>
      </c>
      <c r="AI11" s="199">
        <v>4</v>
      </c>
      <c r="AJ11" s="200">
        <f t="shared" si="5"/>
        <v>0.13333333333333333</v>
      </c>
      <c r="AK11" s="115"/>
      <c r="AL11" s="196" t="str">
        <f>[6]Summary!$Z$7</f>
        <v>-</v>
      </c>
      <c r="AM11" s="174"/>
      <c r="AN11" s="201">
        <f>[6]Summary!$AA$7</f>
        <v>42138</v>
      </c>
      <c r="AO11" s="196" t="str">
        <f>[6]Summary!$AB$7</f>
        <v>?</v>
      </c>
      <c r="AP11" s="196" t="str">
        <f>[6]Summary!$AC$7</f>
        <v>?</v>
      </c>
      <c r="AQ11" s="196" t="str">
        <f>[6]Summary!$AD$7</f>
        <v>?</v>
      </c>
      <c r="AR11" s="202" t="str">
        <f>[6]Summary!$AE$7</f>
        <v xml:space="preserve">RTL:
POST:
FPGA: </v>
      </c>
    </row>
    <row r="12" spans="2:44" ht="16.5" customHeight="1" x14ac:dyDescent="0.3">
      <c r="B12" s="114">
        <v>7</v>
      </c>
      <c r="C12" s="114" t="str">
        <f>[7]Summary!$B$7</f>
        <v>System Memory</v>
      </c>
      <c r="D12" s="114" t="str">
        <f>[7]Summary!$C$7</f>
        <v>김현욱 선임</v>
      </c>
      <c r="E12" s="114" t="str">
        <f>[7]Summary!$D$7</f>
        <v>김현욱 선임</v>
      </c>
      <c r="F12" s="286"/>
      <c r="G12" s="114">
        <v>10</v>
      </c>
      <c r="H12" s="114">
        <v>8</v>
      </c>
      <c r="I12" s="114">
        <v>15</v>
      </c>
      <c r="J12" s="114">
        <v>12</v>
      </c>
      <c r="K12" s="114">
        <f>[7]Summary!$I$7</f>
        <v>0</v>
      </c>
      <c r="L12" s="115">
        <f>[7]Summary!$J$7</f>
        <v>0</v>
      </c>
      <c r="M12" s="116" t="str">
        <f>[7]Summary!$K$7</f>
        <v>-</v>
      </c>
      <c r="N12" s="116">
        <f>[7]Summary!$L$7</f>
        <v>0</v>
      </c>
      <c r="O12" s="116">
        <f>[7]Summary!$M$7</f>
        <v>0</v>
      </c>
      <c r="P12" s="114" t="str">
        <f>[7]Summary!$N$7</f>
        <v>-</v>
      </c>
      <c r="Q12" s="114">
        <f t="shared" si="0"/>
        <v>25</v>
      </c>
      <c r="R12" s="115">
        <f t="shared" si="1"/>
        <v>20</v>
      </c>
      <c r="S12" s="116">
        <f t="shared" si="2"/>
        <v>0.8</v>
      </c>
      <c r="T12" s="115"/>
      <c r="U12" s="286"/>
      <c r="V12" s="114">
        <v>30</v>
      </c>
      <c r="W12" s="115">
        <v>20</v>
      </c>
      <c r="X12" s="116">
        <f t="shared" si="3"/>
        <v>0.66666666666666663</v>
      </c>
      <c r="Y12" s="115"/>
      <c r="Z12" s="114" t="str">
        <f>[7]Summary!$R$7</f>
        <v>-</v>
      </c>
      <c r="AA12" s="286"/>
      <c r="AB12" s="114">
        <v>20</v>
      </c>
      <c r="AC12" s="115">
        <v>20</v>
      </c>
      <c r="AD12" s="116">
        <f t="shared" si="4"/>
        <v>1</v>
      </c>
      <c r="AE12" s="114" t="str">
        <f>[7]Summary!$V$7</f>
        <v>-</v>
      </c>
      <c r="AF12" s="115"/>
      <c r="AG12" s="286"/>
      <c r="AH12" s="114">
        <v>20</v>
      </c>
      <c r="AI12" s="115">
        <v>3</v>
      </c>
      <c r="AJ12" s="116">
        <f t="shared" si="5"/>
        <v>0.15</v>
      </c>
      <c r="AK12" s="115"/>
      <c r="AL12" s="114" t="str">
        <f>[7]Summary!$Z$7</f>
        <v>-</v>
      </c>
      <c r="AM12" s="174"/>
      <c r="AN12" s="143">
        <f>[7]Summary!$AA$7</f>
        <v>42138</v>
      </c>
      <c r="AO12" s="114" t="str">
        <f>[7]Summary!$AB$7</f>
        <v>?</v>
      </c>
      <c r="AP12" s="114" t="str">
        <f>[7]Summary!$AC$7</f>
        <v>?</v>
      </c>
      <c r="AQ12" s="114" t="str">
        <f>[7]Summary!$AD$7</f>
        <v>?</v>
      </c>
      <c r="AR12" s="117" t="str">
        <f>[7]Summary!$AE$7</f>
        <v xml:space="preserve">RTL:
POST:
FPGA: </v>
      </c>
    </row>
    <row r="13" spans="2:44" ht="16.5" customHeight="1" x14ac:dyDescent="0.3">
      <c r="B13" s="196">
        <v>8</v>
      </c>
      <c r="C13" s="196" t="str">
        <f>[8]Summary!$B$7</f>
        <v>Data Buffer</v>
      </c>
      <c r="D13" s="196" t="str">
        <f>[8]Summary!$C$7</f>
        <v>김현욱 선임</v>
      </c>
      <c r="E13" s="196" t="str">
        <f>[8]Summary!$D$7</f>
        <v>김현욱 선임</v>
      </c>
      <c r="F13" s="286"/>
      <c r="G13" s="196">
        <v>8</v>
      </c>
      <c r="H13" s="196">
        <v>8</v>
      </c>
      <c r="I13" s="196">
        <v>18</v>
      </c>
      <c r="J13" s="196">
        <v>15</v>
      </c>
      <c r="K13" s="196">
        <f>[8]Summary!$I$7</f>
        <v>0</v>
      </c>
      <c r="L13" s="199">
        <f>[8]Summary!$J$7</f>
        <v>0</v>
      </c>
      <c r="M13" s="200" t="str">
        <f>[8]Summary!$K$7</f>
        <v>-</v>
      </c>
      <c r="N13" s="200">
        <f>[8]Summary!$L$7</f>
        <v>0</v>
      </c>
      <c r="O13" s="200">
        <f>[8]Summary!$M$7</f>
        <v>0</v>
      </c>
      <c r="P13" s="196" t="str">
        <f>[8]Summary!$N$7</f>
        <v>-</v>
      </c>
      <c r="Q13" s="196">
        <f t="shared" si="0"/>
        <v>26</v>
      </c>
      <c r="R13" s="115">
        <f t="shared" si="1"/>
        <v>23</v>
      </c>
      <c r="S13" s="200">
        <f t="shared" si="2"/>
        <v>0.88461538461538458</v>
      </c>
      <c r="T13" s="115"/>
      <c r="U13" s="286"/>
      <c r="V13" s="196">
        <v>40</v>
      </c>
      <c r="W13" s="199">
        <v>35</v>
      </c>
      <c r="X13" s="200">
        <f t="shared" si="3"/>
        <v>0.875</v>
      </c>
      <c r="Y13" s="115"/>
      <c r="Z13" s="196" t="str">
        <f>[8]Summary!$R$7</f>
        <v>-</v>
      </c>
      <c r="AA13" s="286"/>
      <c r="AB13" s="196">
        <v>20</v>
      </c>
      <c r="AC13" s="199">
        <v>18</v>
      </c>
      <c r="AD13" s="200">
        <f t="shared" si="4"/>
        <v>0.9</v>
      </c>
      <c r="AE13" s="196" t="str">
        <f>[8]Summary!$V$7</f>
        <v>-</v>
      </c>
      <c r="AF13" s="115"/>
      <c r="AG13" s="286"/>
      <c r="AH13" s="196">
        <v>20</v>
      </c>
      <c r="AI13" s="199">
        <v>4</v>
      </c>
      <c r="AJ13" s="200">
        <f t="shared" si="5"/>
        <v>0.2</v>
      </c>
      <c r="AK13" s="115"/>
      <c r="AL13" s="196" t="str">
        <f>[8]Summary!$Z$7</f>
        <v>-</v>
      </c>
      <c r="AM13" s="174"/>
      <c r="AN13" s="201">
        <f>[8]Summary!$AA$7</f>
        <v>42138</v>
      </c>
      <c r="AO13" s="196" t="str">
        <f>[8]Summary!$AB$7</f>
        <v>?</v>
      </c>
      <c r="AP13" s="196" t="str">
        <f>[8]Summary!$AC$7</f>
        <v>?</v>
      </c>
      <c r="AQ13" s="196" t="str">
        <f>[8]Summary!$AD$7</f>
        <v>?</v>
      </c>
      <c r="AR13" s="202" t="str">
        <f>[8]Summary!$AE$7</f>
        <v xml:space="preserve">RTL:
POST:
FPGA: </v>
      </c>
    </row>
    <row r="14" spans="2:44" ht="16.5" customHeight="1" x14ac:dyDescent="0.3">
      <c r="B14" s="114">
        <v>9</v>
      </c>
      <c r="C14" s="114" t="str">
        <f>[9]Summary!$B$7</f>
        <v>DMA</v>
      </c>
      <c r="D14" s="114" t="str">
        <f>[9]Summary!$C$7</f>
        <v>김현욱 선임</v>
      </c>
      <c r="E14" s="114" t="str">
        <f>[9]Summary!$D$7</f>
        <v>김현욱 선임</v>
      </c>
      <c r="F14" s="286"/>
      <c r="G14" s="114">
        <v>9</v>
      </c>
      <c r="H14" s="114">
        <v>8</v>
      </c>
      <c r="I14" s="114">
        <v>30</v>
      </c>
      <c r="J14" s="114">
        <v>20</v>
      </c>
      <c r="K14" s="114">
        <f>[9]Summary!$I$7</f>
        <v>0</v>
      </c>
      <c r="L14" s="115">
        <f>[9]Summary!$J$7</f>
        <v>0</v>
      </c>
      <c r="M14" s="116" t="str">
        <f>[9]Summary!$K$7</f>
        <v>-</v>
      </c>
      <c r="N14" s="116">
        <f>[9]Summary!$L$7</f>
        <v>0</v>
      </c>
      <c r="O14" s="116">
        <f>[9]Summary!$M$7</f>
        <v>0</v>
      </c>
      <c r="P14" s="114" t="str">
        <f>[9]Summary!$N$7</f>
        <v>-</v>
      </c>
      <c r="Q14" s="114">
        <f t="shared" si="0"/>
        <v>39</v>
      </c>
      <c r="R14" s="115">
        <f t="shared" si="1"/>
        <v>28</v>
      </c>
      <c r="S14" s="116">
        <f t="shared" si="2"/>
        <v>0.71794871794871795</v>
      </c>
      <c r="T14" s="115"/>
      <c r="U14" s="286"/>
      <c r="V14" s="114">
        <v>50</v>
      </c>
      <c r="W14" s="115">
        <v>40</v>
      </c>
      <c r="X14" s="116">
        <f t="shared" si="3"/>
        <v>0.8</v>
      </c>
      <c r="Y14" s="115"/>
      <c r="Z14" s="114" t="str">
        <f>[9]Summary!$R$7</f>
        <v>-</v>
      </c>
      <c r="AA14" s="286"/>
      <c r="AB14" s="114">
        <v>20</v>
      </c>
      <c r="AC14" s="115">
        <v>20</v>
      </c>
      <c r="AD14" s="116">
        <f t="shared" si="4"/>
        <v>1</v>
      </c>
      <c r="AE14" s="114" t="str">
        <f>[9]Summary!$V$7</f>
        <v>-</v>
      </c>
      <c r="AF14" s="115"/>
      <c r="AG14" s="286"/>
      <c r="AH14" s="114">
        <v>20</v>
      </c>
      <c r="AI14" s="115">
        <v>2</v>
      </c>
      <c r="AJ14" s="116">
        <f t="shared" si="5"/>
        <v>0.1</v>
      </c>
      <c r="AK14" s="115"/>
      <c r="AL14" s="114" t="str">
        <f>[9]Summary!$Z$7</f>
        <v>-</v>
      </c>
      <c r="AM14" s="174"/>
      <c r="AN14" s="143">
        <f>[9]Summary!$AA$7</f>
        <v>42138</v>
      </c>
      <c r="AO14" s="114" t="str">
        <f>[9]Summary!$AB$7</f>
        <v>?</v>
      </c>
      <c r="AP14" s="114" t="str">
        <f>[9]Summary!$AC$7</f>
        <v>?</v>
      </c>
      <c r="AQ14" s="114" t="str">
        <f>[9]Summary!$AD$7</f>
        <v>?</v>
      </c>
      <c r="AR14" s="117" t="str">
        <f>[9]Summary!$AE$7</f>
        <v xml:space="preserve">RTL:
POST:
FPGA: </v>
      </c>
    </row>
    <row r="15" spans="2:44" ht="16.5" customHeight="1" x14ac:dyDescent="0.3">
      <c r="B15" s="196">
        <v>10</v>
      </c>
      <c r="C15" s="196" t="str">
        <f>[10]Summary!$B$7</f>
        <v>Back Bone</v>
      </c>
      <c r="D15" s="196" t="str">
        <f>[10]Summary!$C$7</f>
        <v>최호윤 수석</v>
      </c>
      <c r="E15" s="196" t="str">
        <f>[10]Summary!$D$7</f>
        <v>최호윤 수석</v>
      </c>
      <c r="F15" s="286"/>
      <c r="G15" s="196">
        <v>30</v>
      </c>
      <c r="H15" s="196">
        <v>10</v>
      </c>
      <c r="I15" s="196">
        <v>30</v>
      </c>
      <c r="J15" s="196">
        <v>25</v>
      </c>
      <c r="K15" s="196">
        <f>[10]Summary!$I$7</f>
        <v>0</v>
      </c>
      <c r="L15" s="199">
        <f>[10]Summary!$J$7</f>
        <v>0</v>
      </c>
      <c r="M15" s="200" t="str">
        <f>[10]Summary!$K$7</f>
        <v>-</v>
      </c>
      <c r="N15" s="200">
        <f>[10]Summary!$L$7</f>
        <v>0</v>
      </c>
      <c r="O15" s="200">
        <f>[10]Summary!$M$7</f>
        <v>0</v>
      </c>
      <c r="P15" s="196" t="str">
        <f>[10]Summary!$N$7</f>
        <v>-</v>
      </c>
      <c r="Q15" s="196">
        <f t="shared" si="0"/>
        <v>60</v>
      </c>
      <c r="R15" s="115">
        <f t="shared" si="1"/>
        <v>35</v>
      </c>
      <c r="S15" s="200">
        <f t="shared" si="2"/>
        <v>0.58333333333333337</v>
      </c>
      <c r="T15" s="115"/>
      <c r="U15" s="286"/>
      <c r="V15" s="196">
        <v>20</v>
      </c>
      <c r="W15" s="199">
        <v>20</v>
      </c>
      <c r="X15" s="200">
        <f t="shared" si="3"/>
        <v>1</v>
      </c>
      <c r="Y15" s="115"/>
      <c r="Z15" s="196" t="str">
        <f>[10]Summary!$R$7</f>
        <v>-</v>
      </c>
      <c r="AA15" s="286"/>
      <c r="AB15" s="196">
        <v>20</v>
      </c>
      <c r="AC15" s="199">
        <v>15</v>
      </c>
      <c r="AD15" s="200">
        <f t="shared" si="4"/>
        <v>0.75</v>
      </c>
      <c r="AE15" s="196" t="str">
        <f>[10]Summary!$V$7</f>
        <v>-</v>
      </c>
      <c r="AF15" s="115"/>
      <c r="AG15" s="286"/>
      <c r="AH15" s="196">
        <v>20</v>
      </c>
      <c r="AI15" s="199">
        <v>5</v>
      </c>
      <c r="AJ15" s="200">
        <f t="shared" si="5"/>
        <v>0.25</v>
      </c>
      <c r="AK15" s="115"/>
      <c r="AL15" s="196" t="str">
        <f>[10]Summary!$Z$7</f>
        <v>-</v>
      </c>
      <c r="AM15" s="174"/>
      <c r="AN15" s="201">
        <f>[10]Summary!$AA$7</f>
        <v>42138</v>
      </c>
      <c r="AO15" s="196" t="str">
        <f>[10]Summary!$AB$7</f>
        <v>?</v>
      </c>
      <c r="AP15" s="196" t="str">
        <f>[10]Summary!$AC$7</f>
        <v>?</v>
      </c>
      <c r="AQ15" s="196" t="str">
        <f>[10]Summary!$AD$7</f>
        <v>?</v>
      </c>
      <c r="AR15" s="202" t="str">
        <f>[10]Summary!$AE$7</f>
        <v xml:space="preserve">RTL:
POST:
FPGA: </v>
      </c>
    </row>
    <row r="16" spans="2:44" ht="16.5" customHeight="1" x14ac:dyDescent="0.3">
      <c r="B16" s="114">
        <v>11</v>
      </c>
      <c r="C16" s="114" t="str">
        <f>[11]Summary!$B$7</f>
        <v>System Controller</v>
      </c>
      <c r="D16" s="114" t="str">
        <f>[11]Summary!$C$7</f>
        <v>김정욱 책임</v>
      </c>
      <c r="E16" s="114" t="str">
        <f>[11]Summary!$D$7</f>
        <v>김정욱 책임</v>
      </c>
      <c r="F16" s="286"/>
      <c r="G16" s="114">
        <v>20</v>
      </c>
      <c r="H16" s="114">
        <v>18</v>
      </c>
      <c r="I16" s="114">
        <v>30</v>
      </c>
      <c r="J16" s="114">
        <v>22</v>
      </c>
      <c r="K16" s="114">
        <f>[11]Summary!$I$7</f>
        <v>0</v>
      </c>
      <c r="L16" s="115">
        <f>[11]Summary!$J$7</f>
        <v>0</v>
      </c>
      <c r="M16" s="116" t="str">
        <f>[11]Summary!$K$7</f>
        <v>-</v>
      </c>
      <c r="N16" s="116">
        <f>[11]Summary!$L$7</f>
        <v>0</v>
      </c>
      <c r="O16" s="116">
        <f>[11]Summary!$M$7</f>
        <v>0</v>
      </c>
      <c r="P16" s="114" t="str">
        <f>[11]Summary!$N$7</f>
        <v>-</v>
      </c>
      <c r="Q16" s="114">
        <f t="shared" si="0"/>
        <v>50</v>
      </c>
      <c r="R16" s="115">
        <f t="shared" si="1"/>
        <v>40</v>
      </c>
      <c r="S16" s="116">
        <f t="shared" si="2"/>
        <v>0.8</v>
      </c>
      <c r="T16" s="115"/>
      <c r="U16" s="286"/>
      <c r="V16" s="114">
        <v>30</v>
      </c>
      <c r="W16" s="115">
        <v>15</v>
      </c>
      <c r="X16" s="116">
        <f t="shared" si="3"/>
        <v>0.5</v>
      </c>
      <c r="Y16" s="115"/>
      <c r="Z16" s="114" t="str">
        <f>[11]Summary!$R$7</f>
        <v>-</v>
      </c>
      <c r="AA16" s="286"/>
      <c r="AB16" s="114">
        <v>35</v>
      </c>
      <c r="AC16" s="115">
        <v>30</v>
      </c>
      <c r="AD16" s="116">
        <f t="shared" si="4"/>
        <v>0.8571428571428571</v>
      </c>
      <c r="AE16" s="114" t="str">
        <f>[11]Summary!$V$7</f>
        <v>-</v>
      </c>
      <c r="AF16" s="115"/>
      <c r="AG16" s="286"/>
      <c r="AH16" s="114">
        <v>15</v>
      </c>
      <c r="AI16" s="115">
        <v>2</v>
      </c>
      <c r="AJ16" s="116">
        <f t="shared" si="5"/>
        <v>0.13333333333333333</v>
      </c>
      <c r="AK16" s="115"/>
      <c r="AL16" s="114" t="str">
        <f>[11]Summary!$Z$7</f>
        <v>-</v>
      </c>
      <c r="AM16" s="174"/>
      <c r="AN16" s="143">
        <f>[11]Summary!$AA$7</f>
        <v>42138</v>
      </c>
      <c r="AO16" s="114" t="str">
        <f>[11]Summary!$AB$7</f>
        <v>?</v>
      </c>
      <c r="AP16" s="114" t="str">
        <f>[11]Summary!$AC$7</f>
        <v>?</v>
      </c>
      <c r="AQ16" s="114" t="str">
        <f>[11]Summary!$AD$7</f>
        <v>?</v>
      </c>
      <c r="AR16" s="117" t="str">
        <f>[11]Summary!$AE$7</f>
        <v xml:space="preserve">RTL:
POST:
FPGA: </v>
      </c>
    </row>
    <row r="17" spans="2:44" ht="16.5" customHeight="1" x14ac:dyDescent="0.3">
      <c r="B17" s="196">
        <v>12</v>
      </c>
      <c r="C17" s="196" t="str">
        <f>[12]Summary!$B$7</f>
        <v>PMU</v>
      </c>
      <c r="D17" s="196" t="str">
        <f>[12]Summary!$C$7</f>
        <v>김정욱 책임</v>
      </c>
      <c r="E17" s="196" t="str">
        <f>[12]Summary!$D$7</f>
        <v>김정욱 책임</v>
      </c>
      <c r="F17" s="286"/>
      <c r="G17" s="196">
        <v>15</v>
      </c>
      <c r="H17" s="196">
        <v>14</v>
      </c>
      <c r="I17" s="196">
        <v>30</v>
      </c>
      <c r="J17" s="196">
        <v>25</v>
      </c>
      <c r="K17" s="196">
        <f>[12]Summary!$I$7</f>
        <v>0</v>
      </c>
      <c r="L17" s="199">
        <f>[12]Summary!$J$7</f>
        <v>0</v>
      </c>
      <c r="M17" s="200" t="str">
        <f>[12]Summary!$K$7</f>
        <v>-</v>
      </c>
      <c r="N17" s="200">
        <f>[12]Summary!$L$7</f>
        <v>0</v>
      </c>
      <c r="O17" s="200">
        <f>[12]Summary!$M$7</f>
        <v>0</v>
      </c>
      <c r="P17" s="196" t="str">
        <f>[12]Summary!$N$7</f>
        <v>-</v>
      </c>
      <c r="Q17" s="196">
        <f t="shared" si="0"/>
        <v>45</v>
      </c>
      <c r="R17" s="115">
        <f t="shared" si="1"/>
        <v>39</v>
      </c>
      <c r="S17" s="200">
        <f t="shared" si="2"/>
        <v>0.8666666666666667</v>
      </c>
      <c r="T17" s="115"/>
      <c r="U17" s="286"/>
      <c r="V17" s="196">
        <v>30</v>
      </c>
      <c r="W17" s="199">
        <v>15</v>
      </c>
      <c r="X17" s="200">
        <f t="shared" si="3"/>
        <v>0.5</v>
      </c>
      <c r="Y17" s="115"/>
      <c r="Z17" s="196" t="str">
        <f>[12]Summary!$R$7</f>
        <v>-</v>
      </c>
      <c r="AA17" s="286"/>
      <c r="AB17" s="196">
        <v>30</v>
      </c>
      <c r="AC17" s="199">
        <v>25</v>
      </c>
      <c r="AD17" s="200">
        <f t="shared" si="4"/>
        <v>0.83333333333333337</v>
      </c>
      <c r="AE17" s="196" t="str">
        <f>[12]Summary!$V$7</f>
        <v>-</v>
      </c>
      <c r="AF17" s="115"/>
      <c r="AG17" s="286"/>
      <c r="AH17" s="196">
        <v>20</v>
      </c>
      <c r="AI17" s="199">
        <v>5</v>
      </c>
      <c r="AJ17" s="200">
        <f t="shared" si="5"/>
        <v>0.25</v>
      </c>
      <c r="AK17" s="115"/>
      <c r="AL17" s="196" t="str">
        <f>[12]Summary!$Z$7</f>
        <v>-</v>
      </c>
      <c r="AM17" s="174"/>
      <c r="AN17" s="201">
        <f>[12]Summary!$AA$7</f>
        <v>42138</v>
      </c>
      <c r="AO17" s="196" t="str">
        <f>[12]Summary!$AB$7</f>
        <v>?</v>
      </c>
      <c r="AP17" s="196" t="str">
        <f>[12]Summary!$AC$7</f>
        <v>?</v>
      </c>
      <c r="AQ17" s="196" t="str">
        <f>[12]Summary!$AD$7</f>
        <v>?</v>
      </c>
      <c r="AR17" s="202" t="str">
        <f>[12]Summary!$AE$7</f>
        <v xml:space="preserve">RTL:
POST:
FPGA: </v>
      </c>
    </row>
    <row r="18" spans="2:44" ht="16.5" customHeight="1" x14ac:dyDescent="0.3">
      <c r="B18" s="114">
        <v>13</v>
      </c>
      <c r="C18" s="114" t="str">
        <f>[13]Summary!$B$7</f>
        <v>RPMB</v>
      </c>
      <c r="D18" s="114" t="str">
        <f>[13]Summary!$C$7</f>
        <v>안병욱 선임</v>
      </c>
      <c r="E18" s="114" t="str">
        <f>[13]Summary!$D$7</f>
        <v>안병욱 선임</v>
      </c>
      <c r="F18" s="286"/>
      <c r="G18" s="114">
        <v>20</v>
      </c>
      <c r="H18" s="114">
        <v>18</v>
      </c>
      <c r="I18" s="114">
        <v>35</v>
      </c>
      <c r="J18" s="114">
        <v>23</v>
      </c>
      <c r="K18" s="114">
        <f>[13]Summary!$I$7</f>
        <v>0</v>
      </c>
      <c r="L18" s="115">
        <f>[13]Summary!$J$7</f>
        <v>0</v>
      </c>
      <c r="M18" s="116" t="str">
        <f>[13]Summary!$K$7</f>
        <v>-</v>
      </c>
      <c r="N18" s="116">
        <f>[13]Summary!$L$7</f>
        <v>0</v>
      </c>
      <c r="O18" s="116">
        <f>[13]Summary!$M$7</f>
        <v>0</v>
      </c>
      <c r="P18" s="114" t="str">
        <f>[13]Summary!$N$7</f>
        <v>-</v>
      </c>
      <c r="Q18" s="114">
        <f t="shared" si="0"/>
        <v>55</v>
      </c>
      <c r="R18" s="115">
        <f t="shared" si="1"/>
        <v>41</v>
      </c>
      <c r="S18" s="116">
        <f t="shared" si="2"/>
        <v>0.74545454545454548</v>
      </c>
      <c r="T18" s="115"/>
      <c r="U18" s="286"/>
      <c r="V18" s="114">
        <v>20</v>
      </c>
      <c r="W18" s="115">
        <v>20</v>
      </c>
      <c r="X18" s="116">
        <f t="shared" si="3"/>
        <v>1</v>
      </c>
      <c r="Y18" s="115"/>
      <c r="Z18" s="114" t="str">
        <f>[13]Summary!$R$7</f>
        <v>-</v>
      </c>
      <c r="AA18" s="286"/>
      <c r="AB18" s="114">
        <v>30</v>
      </c>
      <c r="AC18" s="115">
        <v>25</v>
      </c>
      <c r="AD18" s="116">
        <f t="shared" si="4"/>
        <v>0.83333333333333337</v>
      </c>
      <c r="AE18" s="114" t="str">
        <f>[13]Summary!$V$7</f>
        <v>-</v>
      </c>
      <c r="AF18" s="115"/>
      <c r="AG18" s="286"/>
      <c r="AH18" s="114">
        <v>25</v>
      </c>
      <c r="AI18" s="115">
        <v>2</v>
      </c>
      <c r="AJ18" s="116">
        <f t="shared" si="5"/>
        <v>0.08</v>
      </c>
      <c r="AK18" s="115"/>
      <c r="AL18" s="114" t="str">
        <f>[13]Summary!$Z$7</f>
        <v>-</v>
      </c>
      <c r="AM18" s="174"/>
      <c r="AN18" s="143">
        <f>[13]Summary!$AA$7</f>
        <v>42138</v>
      </c>
      <c r="AO18" s="114" t="str">
        <f>[13]Summary!$AB$7</f>
        <v>?</v>
      </c>
      <c r="AP18" s="114" t="str">
        <f>[13]Summary!$AC$7</f>
        <v>?</v>
      </c>
      <c r="AQ18" s="114" t="str">
        <f>[13]Summary!$AD$7</f>
        <v>?</v>
      </c>
      <c r="AR18" s="117" t="str">
        <f>[13]Summary!$AE$7</f>
        <v xml:space="preserve">RTL:
POST:
FPGA: </v>
      </c>
    </row>
    <row r="19" spans="2:44" ht="16.5" customHeight="1" x14ac:dyDescent="0.3">
      <c r="B19" s="196">
        <v>14</v>
      </c>
      <c r="C19" s="196" t="str">
        <f>[14]Summary!$B$7</f>
        <v>Mail Box</v>
      </c>
      <c r="D19" s="196" t="str">
        <f>[14]Summary!$C$7</f>
        <v>안병욱 선임</v>
      </c>
      <c r="E19" s="196" t="str">
        <f>[14]Summary!$D$7</f>
        <v>안병욱 선임</v>
      </c>
      <c r="F19" s="286"/>
      <c r="G19" s="196">
        <v>30</v>
      </c>
      <c r="H19" s="196">
        <v>20</v>
      </c>
      <c r="I19" s="196">
        <v>20</v>
      </c>
      <c r="J19" s="196">
        <v>18</v>
      </c>
      <c r="K19" s="196">
        <f>[14]Summary!$I$7</f>
        <v>0</v>
      </c>
      <c r="L19" s="199">
        <f>[14]Summary!$J$7</f>
        <v>0</v>
      </c>
      <c r="M19" s="200" t="str">
        <f>[14]Summary!$K$7</f>
        <v>-</v>
      </c>
      <c r="N19" s="200">
        <f>[14]Summary!$L$7</f>
        <v>0</v>
      </c>
      <c r="O19" s="200">
        <f>[14]Summary!$M$7</f>
        <v>0</v>
      </c>
      <c r="P19" s="196" t="str">
        <f>[14]Summary!$N$7</f>
        <v>-</v>
      </c>
      <c r="Q19" s="196">
        <f t="shared" si="0"/>
        <v>50</v>
      </c>
      <c r="R19" s="115">
        <f t="shared" si="1"/>
        <v>38</v>
      </c>
      <c r="S19" s="200">
        <f t="shared" si="2"/>
        <v>0.76</v>
      </c>
      <c r="T19" s="115"/>
      <c r="U19" s="286"/>
      <c r="V19" s="196">
        <v>35</v>
      </c>
      <c r="W19" s="199">
        <v>30</v>
      </c>
      <c r="X19" s="200">
        <f t="shared" si="3"/>
        <v>0.8571428571428571</v>
      </c>
      <c r="Y19" s="115"/>
      <c r="Z19" s="196" t="str">
        <f>[14]Summary!$R$7</f>
        <v>-</v>
      </c>
      <c r="AA19" s="286"/>
      <c r="AB19" s="196">
        <v>30</v>
      </c>
      <c r="AC19" s="199">
        <v>24</v>
      </c>
      <c r="AD19" s="200">
        <f t="shared" si="4"/>
        <v>0.8</v>
      </c>
      <c r="AE19" s="196" t="str">
        <f>[14]Summary!$V$7</f>
        <v>-</v>
      </c>
      <c r="AF19" s="115"/>
      <c r="AG19" s="286"/>
      <c r="AH19" s="196">
        <v>25</v>
      </c>
      <c r="AI19" s="199">
        <v>5</v>
      </c>
      <c r="AJ19" s="200">
        <f t="shared" si="5"/>
        <v>0.2</v>
      </c>
      <c r="AK19" s="115"/>
      <c r="AL19" s="196" t="str">
        <f>[14]Summary!$Z$7</f>
        <v>-</v>
      </c>
      <c r="AM19" s="174"/>
      <c r="AN19" s="201">
        <f>[14]Summary!$AA$7</f>
        <v>42138</v>
      </c>
      <c r="AO19" s="196" t="str">
        <f>[14]Summary!$AB$7</f>
        <v>?</v>
      </c>
      <c r="AP19" s="196" t="str">
        <f>[14]Summary!$AC$7</f>
        <v>?</v>
      </c>
      <c r="AQ19" s="196" t="str">
        <f>[14]Summary!$AD$7</f>
        <v>?</v>
      </c>
      <c r="AR19" s="202" t="str">
        <f>[14]Summary!$AE$7</f>
        <v xml:space="preserve">RTL:
POST:
FPGA: </v>
      </c>
    </row>
    <row r="20" spans="2:44" ht="16.5" customHeight="1" x14ac:dyDescent="0.3">
      <c r="B20" s="114">
        <v>15</v>
      </c>
      <c r="C20" s="114" t="str">
        <f>[15]Summary!$B$7</f>
        <v>Timer</v>
      </c>
      <c r="D20" s="114" t="str">
        <f>[15]Summary!$C$7</f>
        <v>안병욱 선임</v>
      </c>
      <c r="E20" s="114" t="str">
        <f>[15]Summary!$D$7</f>
        <v>안병욱 선임</v>
      </c>
      <c r="F20" s="286"/>
      <c r="G20" s="114">
        <v>15</v>
      </c>
      <c r="H20" s="114">
        <v>10</v>
      </c>
      <c r="I20" s="114">
        <v>20</v>
      </c>
      <c r="J20" s="114">
        <v>15</v>
      </c>
      <c r="K20" s="114">
        <f>[15]Summary!$I$7</f>
        <v>0</v>
      </c>
      <c r="L20" s="115">
        <f>[15]Summary!$J$7</f>
        <v>0</v>
      </c>
      <c r="M20" s="116" t="str">
        <f>[15]Summary!$K$7</f>
        <v>-</v>
      </c>
      <c r="N20" s="116">
        <f>[15]Summary!$L$7</f>
        <v>0</v>
      </c>
      <c r="O20" s="116">
        <f>[15]Summary!$M$7</f>
        <v>0</v>
      </c>
      <c r="P20" s="114" t="str">
        <f>[15]Summary!$N$7</f>
        <v>-</v>
      </c>
      <c r="Q20" s="114">
        <f t="shared" si="0"/>
        <v>35</v>
      </c>
      <c r="R20" s="115">
        <f t="shared" si="1"/>
        <v>25</v>
      </c>
      <c r="S20" s="116">
        <f t="shared" si="2"/>
        <v>0.7142857142857143</v>
      </c>
      <c r="T20" s="115"/>
      <c r="U20" s="286"/>
      <c r="V20" s="114">
        <v>35</v>
      </c>
      <c r="W20" s="115">
        <v>30</v>
      </c>
      <c r="X20" s="116">
        <f t="shared" si="3"/>
        <v>0.8571428571428571</v>
      </c>
      <c r="Y20" s="115"/>
      <c r="Z20" s="114" t="str">
        <f>[15]Summary!$R$7</f>
        <v>-</v>
      </c>
      <c r="AA20" s="286"/>
      <c r="AB20" s="114">
        <v>30</v>
      </c>
      <c r="AC20" s="115">
        <v>28</v>
      </c>
      <c r="AD20" s="116">
        <f t="shared" si="4"/>
        <v>0.93333333333333335</v>
      </c>
      <c r="AE20" s="114" t="str">
        <f>[15]Summary!$V$7</f>
        <v>-</v>
      </c>
      <c r="AF20" s="115"/>
      <c r="AG20" s="286"/>
      <c r="AH20" s="114">
        <v>25</v>
      </c>
      <c r="AI20" s="115">
        <v>10</v>
      </c>
      <c r="AJ20" s="116">
        <f t="shared" si="5"/>
        <v>0.4</v>
      </c>
      <c r="AK20" s="115"/>
      <c r="AL20" s="114" t="str">
        <f>[15]Summary!$Z$7</f>
        <v>-</v>
      </c>
      <c r="AM20" s="174"/>
      <c r="AN20" s="143">
        <f>[15]Summary!$AA$7</f>
        <v>42138</v>
      </c>
      <c r="AO20" s="114" t="str">
        <f>[15]Summary!$AB$7</f>
        <v>?</v>
      </c>
      <c r="AP20" s="114" t="str">
        <f>[15]Summary!$AC$7</f>
        <v>?</v>
      </c>
      <c r="AQ20" s="114" t="str">
        <f>[15]Summary!$AD$7</f>
        <v>?</v>
      </c>
      <c r="AR20" s="117" t="str">
        <f>[15]Summary!$AE$7</f>
        <v xml:space="preserve">RTL:
POST:
FPGA: </v>
      </c>
    </row>
    <row r="21" spans="2:44" ht="16.5" customHeight="1" x14ac:dyDescent="0.3">
      <c r="B21" s="196">
        <v>16</v>
      </c>
      <c r="C21" s="196" t="str">
        <f>[16]Summary!$B$7</f>
        <v>WDT</v>
      </c>
      <c r="D21" s="196" t="str">
        <f>[16]Summary!$C$7</f>
        <v>안병욱 선임</v>
      </c>
      <c r="E21" s="196" t="str">
        <f>[16]Summary!$D$7</f>
        <v>안병욱 선임</v>
      </c>
      <c r="F21" s="286"/>
      <c r="G21" s="196">
        <v>18</v>
      </c>
      <c r="H21" s="196">
        <v>10</v>
      </c>
      <c r="I21" s="196">
        <v>20</v>
      </c>
      <c r="J21" s="196">
        <v>16</v>
      </c>
      <c r="K21" s="196">
        <f>[16]Summary!$I$7</f>
        <v>0</v>
      </c>
      <c r="L21" s="199">
        <f>[16]Summary!$J$7</f>
        <v>0</v>
      </c>
      <c r="M21" s="200" t="str">
        <f>[16]Summary!$K$7</f>
        <v>-</v>
      </c>
      <c r="N21" s="200">
        <f>[16]Summary!$L$7</f>
        <v>0</v>
      </c>
      <c r="O21" s="200">
        <f>[16]Summary!$M$7</f>
        <v>0</v>
      </c>
      <c r="P21" s="196" t="str">
        <f>[16]Summary!$N$7</f>
        <v>-</v>
      </c>
      <c r="Q21" s="196">
        <f t="shared" si="0"/>
        <v>38</v>
      </c>
      <c r="R21" s="115">
        <f t="shared" si="1"/>
        <v>26</v>
      </c>
      <c r="S21" s="200">
        <f t="shared" si="2"/>
        <v>0.68421052631578949</v>
      </c>
      <c r="T21" s="115"/>
      <c r="U21" s="286"/>
      <c r="V21" s="196">
        <v>35</v>
      </c>
      <c r="W21" s="199">
        <v>30</v>
      </c>
      <c r="X21" s="200">
        <f t="shared" si="3"/>
        <v>0.8571428571428571</v>
      </c>
      <c r="Y21" s="115"/>
      <c r="Z21" s="196" t="str">
        <f>[16]Summary!$R$7</f>
        <v>-</v>
      </c>
      <c r="AA21" s="286"/>
      <c r="AB21" s="196">
        <v>40</v>
      </c>
      <c r="AC21" s="199">
        <v>32</v>
      </c>
      <c r="AD21" s="200">
        <f t="shared" si="4"/>
        <v>0.8</v>
      </c>
      <c r="AE21" s="196" t="str">
        <f>[16]Summary!$V$7</f>
        <v>-</v>
      </c>
      <c r="AF21" s="115"/>
      <c r="AG21" s="286"/>
      <c r="AH21" s="196">
        <v>20</v>
      </c>
      <c r="AI21" s="199">
        <v>2</v>
      </c>
      <c r="AJ21" s="200">
        <f t="shared" si="5"/>
        <v>0.1</v>
      </c>
      <c r="AK21" s="115"/>
      <c r="AL21" s="196" t="str">
        <f>[16]Summary!$Z$7</f>
        <v>-</v>
      </c>
      <c r="AM21" s="174"/>
      <c r="AN21" s="201">
        <f>[16]Summary!$AA$7</f>
        <v>42138</v>
      </c>
      <c r="AO21" s="196" t="str">
        <f>[16]Summary!$AB$7</f>
        <v>?</v>
      </c>
      <c r="AP21" s="196" t="str">
        <f>[16]Summary!$AC$7</f>
        <v>?</v>
      </c>
      <c r="AQ21" s="196" t="str">
        <f>[16]Summary!$AD$7</f>
        <v>?</v>
      </c>
      <c r="AR21" s="202" t="str">
        <f>[16]Summary!$AE$7</f>
        <v xml:space="preserve">RTL:
POST:
FPGA: </v>
      </c>
    </row>
    <row r="22" spans="2:44" ht="16.5" customHeight="1" x14ac:dyDescent="0.3">
      <c r="B22" s="114">
        <v>17</v>
      </c>
      <c r="C22" s="114" t="str">
        <f>[17]Summary!$B$7</f>
        <v>UART</v>
      </c>
      <c r="D22" s="114" t="str">
        <f>[17]Summary!$C$7</f>
        <v>안병욱 선임</v>
      </c>
      <c r="E22" s="114" t="str">
        <f>[17]Summary!$D$7</f>
        <v>안병욱 선임</v>
      </c>
      <c r="F22" s="286"/>
      <c r="G22" s="114">
        <v>17</v>
      </c>
      <c r="H22" s="114">
        <v>15</v>
      </c>
      <c r="I22" s="114">
        <v>25</v>
      </c>
      <c r="J22" s="114">
        <v>20</v>
      </c>
      <c r="K22" s="114">
        <f>[17]Summary!$I$7</f>
        <v>0</v>
      </c>
      <c r="L22" s="115">
        <f>[17]Summary!$J$7</f>
        <v>0</v>
      </c>
      <c r="M22" s="116" t="str">
        <f>[17]Summary!$K$7</f>
        <v>-</v>
      </c>
      <c r="N22" s="116">
        <f>[17]Summary!$L$7</f>
        <v>0</v>
      </c>
      <c r="O22" s="116">
        <f>[17]Summary!$M$7</f>
        <v>0</v>
      </c>
      <c r="P22" s="114" t="str">
        <f>[17]Summary!$N$7</f>
        <v>-</v>
      </c>
      <c r="Q22" s="114">
        <f t="shared" si="0"/>
        <v>42</v>
      </c>
      <c r="R22" s="115">
        <f t="shared" si="1"/>
        <v>35</v>
      </c>
      <c r="S22" s="116">
        <f t="shared" si="2"/>
        <v>0.83333333333333337</v>
      </c>
      <c r="T22" s="115"/>
      <c r="U22" s="286"/>
      <c r="V22" s="114">
        <v>25</v>
      </c>
      <c r="W22" s="115">
        <v>30</v>
      </c>
      <c r="X22" s="116">
        <f t="shared" si="3"/>
        <v>1.2</v>
      </c>
      <c r="Y22" s="115"/>
      <c r="Z22" s="114" t="str">
        <f>[17]Summary!$R$7</f>
        <v>-</v>
      </c>
      <c r="AA22" s="286"/>
      <c r="AB22" s="114">
        <v>25</v>
      </c>
      <c r="AC22" s="115">
        <v>20</v>
      </c>
      <c r="AD22" s="116">
        <f t="shared" si="4"/>
        <v>0.8</v>
      </c>
      <c r="AE22" s="114" t="str">
        <f>[17]Summary!$V$7</f>
        <v>-</v>
      </c>
      <c r="AF22" s="115"/>
      <c r="AG22" s="286"/>
      <c r="AH22" s="114">
        <v>30</v>
      </c>
      <c r="AI22" s="115">
        <v>2</v>
      </c>
      <c r="AJ22" s="116">
        <f t="shared" si="5"/>
        <v>6.6666666666666666E-2</v>
      </c>
      <c r="AK22" s="115"/>
      <c r="AL22" s="114" t="str">
        <f>[17]Summary!$Z$7</f>
        <v>-</v>
      </c>
      <c r="AM22" s="174"/>
      <c r="AN22" s="143">
        <f>[17]Summary!$AA$7</f>
        <v>42138</v>
      </c>
      <c r="AO22" s="114" t="str">
        <f>[17]Summary!$AB$7</f>
        <v>?</v>
      </c>
      <c r="AP22" s="114" t="str">
        <f>[17]Summary!$AC$7</f>
        <v>?</v>
      </c>
      <c r="AQ22" s="114" t="str">
        <f>[17]Summary!$AD$7</f>
        <v>?</v>
      </c>
      <c r="AR22" s="117" t="str">
        <f>[17]Summary!$AE$7</f>
        <v xml:space="preserve">RTL:
POST:
FPGA: </v>
      </c>
    </row>
    <row r="23" spans="2:44" ht="16.5" customHeight="1" x14ac:dyDescent="0.3">
      <c r="B23" s="196">
        <v>18</v>
      </c>
      <c r="C23" s="196" t="str">
        <f>[18]Summary!$B$7</f>
        <v>Clock Controller</v>
      </c>
      <c r="D23" s="196" t="str">
        <f>[18]Summary!$C$7</f>
        <v>김정욱 책임</v>
      </c>
      <c r="E23" s="196" t="str">
        <f>[18]Summary!$D$7</f>
        <v>김정욱 책임</v>
      </c>
      <c r="F23" s="286"/>
      <c r="G23" s="196">
        <v>16</v>
      </c>
      <c r="H23" s="196">
        <v>15</v>
      </c>
      <c r="I23" s="196">
        <v>25</v>
      </c>
      <c r="J23" s="196">
        <v>25</v>
      </c>
      <c r="K23" s="196">
        <f>[18]Summary!$I$7</f>
        <v>0</v>
      </c>
      <c r="L23" s="199">
        <f>[18]Summary!$J$7</f>
        <v>0</v>
      </c>
      <c r="M23" s="200" t="str">
        <f>[18]Summary!$K$7</f>
        <v>-</v>
      </c>
      <c r="N23" s="200">
        <f>[18]Summary!$L$7</f>
        <v>0</v>
      </c>
      <c r="O23" s="200">
        <f>[18]Summary!$M$7</f>
        <v>0</v>
      </c>
      <c r="P23" s="196" t="str">
        <f>[18]Summary!$N$7</f>
        <v>-</v>
      </c>
      <c r="Q23" s="196">
        <f t="shared" si="0"/>
        <v>41</v>
      </c>
      <c r="R23" s="115">
        <f t="shared" si="1"/>
        <v>40</v>
      </c>
      <c r="S23" s="200">
        <f t="shared" si="2"/>
        <v>0.97560975609756095</v>
      </c>
      <c r="T23" s="115"/>
      <c r="U23" s="286"/>
      <c r="V23" s="196">
        <v>25</v>
      </c>
      <c r="W23" s="199">
        <v>20</v>
      </c>
      <c r="X23" s="200">
        <f t="shared" si="3"/>
        <v>0.8</v>
      </c>
      <c r="Y23" s="115"/>
      <c r="Z23" s="196" t="str">
        <f>[18]Summary!$R$7</f>
        <v>-</v>
      </c>
      <c r="AA23" s="286"/>
      <c r="AB23" s="196">
        <v>25</v>
      </c>
      <c r="AC23" s="199">
        <v>25</v>
      </c>
      <c r="AD23" s="200">
        <f t="shared" si="4"/>
        <v>1</v>
      </c>
      <c r="AE23" s="196" t="str">
        <f>[18]Summary!$V$7</f>
        <v>-</v>
      </c>
      <c r="AF23" s="115"/>
      <c r="AG23" s="286"/>
      <c r="AH23" s="196">
        <v>30</v>
      </c>
      <c r="AI23" s="199">
        <v>5</v>
      </c>
      <c r="AJ23" s="200">
        <f t="shared" si="5"/>
        <v>0.16666666666666666</v>
      </c>
      <c r="AK23" s="115"/>
      <c r="AL23" s="196" t="str">
        <f>[18]Summary!$Z$7</f>
        <v>-</v>
      </c>
      <c r="AM23" s="174"/>
      <c r="AN23" s="201">
        <f>[18]Summary!$AA$7</f>
        <v>42138</v>
      </c>
      <c r="AO23" s="196" t="str">
        <f>[18]Summary!$AB$7</f>
        <v>?</v>
      </c>
      <c r="AP23" s="196" t="str">
        <f>[18]Summary!$AC$7</f>
        <v>?</v>
      </c>
      <c r="AQ23" s="196" t="str">
        <f>[18]Summary!$AD$7</f>
        <v>?</v>
      </c>
      <c r="AR23" s="202" t="str">
        <f>[18]Summary!$AE$7</f>
        <v xml:space="preserve">RTL:
POST:
FPGA: </v>
      </c>
    </row>
    <row r="24" spans="2:44" ht="16.5" customHeight="1" x14ac:dyDescent="0.3">
      <c r="B24" s="114">
        <v>19</v>
      </c>
      <c r="C24" s="114" t="str">
        <f>[19]Summary!$B$7</f>
        <v>Reset Controller</v>
      </c>
      <c r="D24" s="114" t="str">
        <f>[19]Summary!$C$7</f>
        <v>김정욱 책임</v>
      </c>
      <c r="E24" s="114" t="str">
        <f>[19]Summary!$D$7</f>
        <v>김정욱 책임</v>
      </c>
      <c r="F24" s="286"/>
      <c r="G24" s="114">
        <v>20</v>
      </c>
      <c r="H24" s="114">
        <v>13</v>
      </c>
      <c r="I24" s="114">
        <v>25</v>
      </c>
      <c r="J24" s="114">
        <v>22</v>
      </c>
      <c r="K24" s="114">
        <f>[19]Summary!$I$7</f>
        <v>0</v>
      </c>
      <c r="L24" s="115">
        <f>[19]Summary!$J$7</f>
        <v>0</v>
      </c>
      <c r="M24" s="116" t="str">
        <f>[19]Summary!$K$7</f>
        <v>-</v>
      </c>
      <c r="N24" s="116">
        <f>[19]Summary!$L$7</f>
        <v>0</v>
      </c>
      <c r="O24" s="116">
        <f>[19]Summary!$M$7</f>
        <v>0</v>
      </c>
      <c r="P24" s="114" t="str">
        <f>[19]Summary!$N$7</f>
        <v>-</v>
      </c>
      <c r="Q24" s="114">
        <f t="shared" si="0"/>
        <v>45</v>
      </c>
      <c r="R24" s="115">
        <f t="shared" si="1"/>
        <v>35</v>
      </c>
      <c r="S24" s="116">
        <f t="shared" si="2"/>
        <v>0.77777777777777779</v>
      </c>
      <c r="T24" s="115"/>
      <c r="U24" s="286"/>
      <c r="V24" s="114">
        <v>25</v>
      </c>
      <c r="W24" s="115">
        <v>20</v>
      </c>
      <c r="X24" s="116">
        <f t="shared" si="3"/>
        <v>0.8</v>
      </c>
      <c r="Y24" s="115"/>
      <c r="Z24" s="114" t="str">
        <f>[19]Summary!$R$7</f>
        <v>-</v>
      </c>
      <c r="AA24" s="286"/>
      <c r="AB24" s="114">
        <v>25</v>
      </c>
      <c r="AC24" s="115">
        <v>22</v>
      </c>
      <c r="AD24" s="116">
        <f t="shared" si="4"/>
        <v>0.88</v>
      </c>
      <c r="AE24" s="114" t="str">
        <f>[19]Summary!$V$7</f>
        <v>-</v>
      </c>
      <c r="AF24" s="115"/>
      <c r="AG24" s="286"/>
      <c r="AH24" s="114">
        <v>30</v>
      </c>
      <c r="AI24" s="115">
        <v>8</v>
      </c>
      <c r="AJ24" s="116">
        <f t="shared" si="5"/>
        <v>0.26666666666666666</v>
      </c>
      <c r="AK24" s="115"/>
      <c r="AL24" s="114" t="str">
        <f>[19]Summary!$Z$7</f>
        <v>-</v>
      </c>
      <c r="AM24" s="174"/>
      <c r="AN24" s="143">
        <f>[19]Summary!$AA$7</f>
        <v>42138</v>
      </c>
      <c r="AO24" s="114" t="str">
        <f>[19]Summary!$AB$7</f>
        <v>?</v>
      </c>
      <c r="AP24" s="114" t="str">
        <f>[19]Summary!$AC$7</f>
        <v>?</v>
      </c>
      <c r="AQ24" s="114" t="str">
        <f>[19]Summary!$AD$7</f>
        <v>?</v>
      </c>
      <c r="AR24" s="117" t="str">
        <f>[19]Summary!$AE$7</f>
        <v xml:space="preserve">RTL:
POST:
FPGA: </v>
      </c>
    </row>
    <row r="25" spans="2:44" ht="16.5" customHeight="1" x14ac:dyDescent="0.3">
      <c r="B25" s="196">
        <v>20</v>
      </c>
      <c r="C25" s="196" t="str">
        <f>[20]Summary!$B$7</f>
        <v>eFuse Controller</v>
      </c>
      <c r="D25" s="196" t="str">
        <f>[20]Summary!$C$7</f>
        <v>안병욱 선임</v>
      </c>
      <c r="E25" s="196" t="str">
        <f>[20]Summary!$D$7</f>
        <v>안병욱 선임</v>
      </c>
      <c r="F25" s="286"/>
      <c r="G25" s="196">
        <v>21</v>
      </c>
      <c r="H25" s="196">
        <v>20</v>
      </c>
      <c r="I25" s="196">
        <v>25</v>
      </c>
      <c r="J25" s="196">
        <v>22</v>
      </c>
      <c r="K25" s="196">
        <f>[20]Summary!$I$7</f>
        <v>0</v>
      </c>
      <c r="L25" s="199">
        <f>[20]Summary!$J$7</f>
        <v>0</v>
      </c>
      <c r="M25" s="200" t="str">
        <f>[20]Summary!$K$7</f>
        <v>-</v>
      </c>
      <c r="N25" s="200">
        <f>[20]Summary!$L$7</f>
        <v>0</v>
      </c>
      <c r="O25" s="200">
        <f>[20]Summary!$M$7</f>
        <v>0</v>
      </c>
      <c r="P25" s="196" t="str">
        <f>[20]Summary!$N$7</f>
        <v>-</v>
      </c>
      <c r="Q25" s="196">
        <f t="shared" si="0"/>
        <v>46</v>
      </c>
      <c r="R25" s="115">
        <f t="shared" si="1"/>
        <v>42</v>
      </c>
      <c r="S25" s="200">
        <f t="shared" si="2"/>
        <v>0.91304347826086951</v>
      </c>
      <c r="T25" s="115"/>
      <c r="U25" s="286"/>
      <c r="V25" s="196">
        <v>40</v>
      </c>
      <c r="W25" s="199">
        <v>35</v>
      </c>
      <c r="X25" s="200">
        <f t="shared" si="3"/>
        <v>0.875</v>
      </c>
      <c r="Y25" s="115"/>
      <c r="Z25" s="196" t="str">
        <f>[20]Summary!$R$7</f>
        <v>-</v>
      </c>
      <c r="AA25" s="286"/>
      <c r="AB25" s="196">
        <v>25</v>
      </c>
      <c r="AC25" s="199">
        <v>22</v>
      </c>
      <c r="AD25" s="200">
        <f t="shared" si="4"/>
        <v>0.88</v>
      </c>
      <c r="AE25" s="196" t="str">
        <f>[20]Summary!$V$7</f>
        <v>-</v>
      </c>
      <c r="AF25" s="115"/>
      <c r="AG25" s="286"/>
      <c r="AH25" s="196">
        <v>25</v>
      </c>
      <c r="AI25" s="199">
        <v>9</v>
      </c>
      <c r="AJ25" s="200">
        <f t="shared" si="5"/>
        <v>0.36</v>
      </c>
      <c r="AK25" s="115"/>
      <c r="AL25" s="196" t="str">
        <f>[20]Summary!$Z$7</f>
        <v>-</v>
      </c>
      <c r="AM25" s="174"/>
      <c r="AN25" s="201">
        <f>[20]Summary!$AA$7</f>
        <v>42138</v>
      </c>
      <c r="AO25" s="196" t="str">
        <f>[20]Summary!$AB$7</f>
        <v>?</v>
      </c>
      <c r="AP25" s="196" t="str">
        <f>[20]Summary!$AC$7</f>
        <v>?</v>
      </c>
      <c r="AQ25" s="196" t="str">
        <f>[20]Summary!$AD$7</f>
        <v>?</v>
      </c>
      <c r="AR25" s="202" t="str">
        <f>[20]Summary!$AE$7</f>
        <v xml:space="preserve">RTL:
POST:
FPGA: </v>
      </c>
    </row>
    <row r="26" spans="2:44" ht="16.5" customHeight="1" x14ac:dyDescent="0.3">
      <c r="B26" s="114">
        <v>21</v>
      </c>
      <c r="C26" s="114" t="str">
        <f>[21]Summary!$B$7</f>
        <v>M-PHY</v>
      </c>
      <c r="D26" s="114" t="str">
        <f>[21]Summary!$C$7</f>
        <v>이현주 선임</v>
      </c>
      <c r="E26" s="114" t="str">
        <f>[21]Summary!$D$7</f>
        <v>이현주 선임</v>
      </c>
      <c r="F26" s="286"/>
      <c r="G26" s="114">
        <v>25</v>
      </c>
      <c r="H26" s="114">
        <v>22</v>
      </c>
      <c r="I26" s="114">
        <v>25</v>
      </c>
      <c r="J26" s="114">
        <v>23</v>
      </c>
      <c r="K26" s="114">
        <f>[21]Summary!$I$7</f>
        <v>0</v>
      </c>
      <c r="L26" s="115">
        <f>[21]Summary!$J$7</f>
        <v>0</v>
      </c>
      <c r="M26" s="116" t="str">
        <f>[21]Summary!$K$7</f>
        <v>-</v>
      </c>
      <c r="N26" s="116">
        <f>[21]Summary!$L$7</f>
        <v>0</v>
      </c>
      <c r="O26" s="116">
        <f>[21]Summary!$M$7</f>
        <v>0</v>
      </c>
      <c r="P26" s="114" t="str">
        <f>[21]Summary!$N$7</f>
        <v>-</v>
      </c>
      <c r="Q26" s="114">
        <f t="shared" si="0"/>
        <v>50</v>
      </c>
      <c r="R26" s="115">
        <f t="shared" si="1"/>
        <v>45</v>
      </c>
      <c r="S26" s="116">
        <f t="shared" si="2"/>
        <v>0.9</v>
      </c>
      <c r="T26" s="115"/>
      <c r="U26" s="286"/>
      <c r="V26" s="114">
        <v>40</v>
      </c>
      <c r="W26" s="115">
        <v>30</v>
      </c>
      <c r="X26" s="116">
        <f t="shared" si="3"/>
        <v>0.75</v>
      </c>
      <c r="Y26" s="115"/>
      <c r="Z26" s="114" t="str">
        <f>[21]Summary!$R$7</f>
        <v>-</v>
      </c>
      <c r="AA26" s="286"/>
      <c r="AB26" s="114">
        <v>25</v>
      </c>
      <c r="AC26" s="115">
        <v>23</v>
      </c>
      <c r="AD26" s="116">
        <f t="shared" si="4"/>
        <v>0.92</v>
      </c>
      <c r="AE26" s="114" t="str">
        <f>[21]Summary!$V$7</f>
        <v>-</v>
      </c>
      <c r="AF26" s="115"/>
      <c r="AG26" s="286"/>
      <c r="AH26" s="114">
        <v>25</v>
      </c>
      <c r="AI26" s="115">
        <v>7</v>
      </c>
      <c r="AJ26" s="116">
        <f t="shared" si="5"/>
        <v>0.28000000000000003</v>
      </c>
      <c r="AK26" s="115"/>
      <c r="AL26" s="114" t="str">
        <f>[21]Summary!$Z$7</f>
        <v>-</v>
      </c>
      <c r="AM26" s="174"/>
      <c r="AN26" s="143">
        <f>[21]Summary!$AA$7</f>
        <v>42138</v>
      </c>
      <c r="AO26" s="114" t="str">
        <f>[21]Summary!$AB$7</f>
        <v>?</v>
      </c>
      <c r="AP26" s="114" t="str">
        <f>[21]Summary!$AC$7</f>
        <v>?</v>
      </c>
      <c r="AQ26" s="114" t="str">
        <f>[21]Summary!$AD$7</f>
        <v>?</v>
      </c>
      <c r="AR26" s="117" t="str">
        <f>[21]Summary!$AE$7</f>
        <v xml:space="preserve">RTL:
POST:
FPGA: </v>
      </c>
    </row>
    <row r="27" spans="2:44" ht="16.5" customHeight="1" x14ac:dyDescent="0.3">
      <c r="B27" s="196">
        <v>22</v>
      </c>
      <c r="C27" s="196" t="str">
        <f>[22]Summary!$B$7</f>
        <v>Nand PHY</v>
      </c>
      <c r="D27" s="196" t="str">
        <f>[22]Summary!$C$7</f>
        <v>이종용 선임</v>
      </c>
      <c r="E27" s="196" t="str">
        <f>[22]Summary!$D$7</f>
        <v>이종용 선임</v>
      </c>
      <c r="F27" s="286"/>
      <c r="G27" s="196">
        <v>20</v>
      </c>
      <c r="H27" s="196">
        <v>20</v>
      </c>
      <c r="I27" s="196">
        <v>30</v>
      </c>
      <c r="J27" s="196">
        <v>25</v>
      </c>
      <c r="K27" s="196">
        <f>[22]Summary!$I$7</f>
        <v>0</v>
      </c>
      <c r="L27" s="199">
        <f>[22]Summary!$J$7</f>
        <v>0</v>
      </c>
      <c r="M27" s="200" t="str">
        <f>[22]Summary!$K$7</f>
        <v>-</v>
      </c>
      <c r="N27" s="200">
        <f>[22]Summary!$L$7</f>
        <v>0</v>
      </c>
      <c r="O27" s="200">
        <f>[22]Summary!$M$7</f>
        <v>0</v>
      </c>
      <c r="P27" s="196" t="str">
        <f>[22]Summary!$N$7</f>
        <v>-</v>
      </c>
      <c r="Q27" s="196">
        <f t="shared" si="0"/>
        <v>50</v>
      </c>
      <c r="R27" s="115">
        <f t="shared" si="1"/>
        <v>45</v>
      </c>
      <c r="S27" s="200">
        <f t="shared" si="2"/>
        <v>0.9</v>
      </c>
      <c r="T27" s="115"/>
      <c r="U27" s="286"/>
      <c r="V27" s="196">
        <v>35</v>
      </c>
      <c r="W27" s="199">
        <v>30</v>
      </c>
      <c r="X27" s="200">
        <f t="shared" si="3"/>
        <v>0.8571428571428571</v>
      </c>
      <c r="Y27" s="115"/>
      <c r="Z27" s="196" t="str">
        <f>[22]Summary!$R$7</f>
        <v>-</v>
      </c>
      <c r="AA27" s="286"/>
      <c r="AB27" s="196">
        <v>30</v>
      </c>
      <c r="AC27" s="199">
        <v>30</v>
      </c>
      <c r="AD27" s="200">
        <f t="shared" si="4"/>
        <v>1</v>
      </c>
      <c r="AE27" s="196" t="str">
        <f>[22]Summary!$V$7</f>
        <v>-</v>
      </c>
      <c r="AF27" s="115"/>
      <c r="AG27" s="286"/>
      <c r="AH27" s="196">
        <v>30</v>
      </c>
      <c r="AI27" s="199">
        <v>5</v>
      </c>
      <c r="AJ27" s="200">
        <f t="shared" si="5"/>
        <v>0.16666666666666666</v>
      </c>
      <c r="AK27" s="115"/>
      <c r="AL27" s="196" t="str">
        <f>[22]Summary!$Z$7</f>
        <v>-</v>
      </c>
      <c r="AM27" s="174"/>
      <c r="AN27" s="201">
        <f>[22]Summary!$AA$7</f>
        <v>42138</v>
      </c>
      <c r="AO27" s="196" t="str">
        <f>[22]Summary!$AB$7</f>
        <v>?</v>
      </c>
      <c r="AP27" s="196" t="str">
        <f>[22]Summary!$AC$7</f>
        <v>?</v>
      </c>
      <c r="AQ27" s="196" t="str">
        <f>[22]Summary!$AD$7</f>
        <v>?</v>
      </c>
      <c r="AR27" s="202" t="str">
        <f>[22]Summary!$AE$7</f>
        <v xml:space="preserve">RTL:
POST:
FPGA: </v>
      </c>
    </row>
    <row r="28" spans="2:44" ht="16.5" customHeight="1" x14ac:dyDescent="0.3">
      <c r="B28" s="114">
        <v>23</v>
      </c>
      <c r="C28" s="114" t="str">
        <f>[23]Summary!$B$7</f>
        <v>Nand IO</v>
      </c>
      <c r="D28" s="114" t="str">
        <f>[23]Summary!$C$7</f>
        <v>이종용 선임</v>
      </c>
      <c r="E28" s="114" t="str">
        <f>[23]Summary!$D$7</f>
        <v>이종용 선임</v>
      </c>
      <c r="F28" s="286"/>
      <c r="G28" s="114">
        <v>30</v>
      </c>
      <c r="H28" s="114">
        <v>25</v>
      </c>
      <c r="I28" s="114">
        <v>35</v>
      </c>
      <c r="J28" s="114">
        <v>30</v>
      </c>
      <c r="K28" s="114">
        <f>[23]Summary!$I$7</f>
        <v>0</v>
      </c>
      <c r="L28" s="115">
        <f>[23]Summary!$J$7</f>
        <v>0</v>
      </c>
      <c r="M28" s="116" t="str">
        <f>[23]Summary!$K$7</f>
        <v>-</v>
      </c>
      <c r="N28" s="116">
        <f>[23]Summary!$L$7</f>
        <v>0</v>
      </c>
      <c r="O28" s="116">
        <f>[23]Summary!$M$7</f>
        <v>0</v>
      </c>
      <c r="P28" s="114" t="str">
        <f>[23]Summary!$N$7</f>
        <v>-</v>
      </c>
      <c r="Q28" s="114">
        <f t="shared" si="0"/>
        <v>65</v>
      </c>
      <c r="R28" s="115">
        <f t="shared" si="1"/>
        <v>55</v>
      </c>
      <c r="S28" s="116">
        <f t="shared" si="2"/>
        <v>0.84615384615384615</v>
      </c>
      <c r="T28" s="115"/>
      <c r="U28" s="286"/>
      <c r="V28" s="114">
        <v>35</v>
      </c>
      <c r="W28" s="115">
        <v>30</v>
      </c>
      <c r="X28" s="116">
        <f t="shared" si="3"/>
        <v>0.8571428571428571</v>
      </c>
      <c r="Y28" s="115"/>
      <c r="Z28" s="114" t="str">
        <f>[23]Summary!$R$7</f>
        <v>-</v>
      </c>
      <c r="AA28" s="286"/>
      <c r="AB28" s="114">
        <v>20</v>
      </c>
      <c r="AC28" s="115">
        <v>18</v>
      </c>
      <c r="AD28" s="116">
        <f t="shared" si="4"/>
        <v>0.9</v>
      </c>
      <c r="AE28" s="114" t="str">
        <f>[23]Summary!$V$7</f>
        <v>-</v>
      </c>
      <c r="AF28" s="115"/>
      <c r="AG28" s="286"/>
      <c r="AH28" s="114">
        <v>30</v>
      </c>
      <c r="AI28" s="115">
        <v>8</v>
      </c>
      <c r="AJ28" s="116">
        <f t="shared" si="5"/>
        <v>0.26666666666666666</v>
      </c>
      <c r="AK28" s="115"/>
      <c r="AL28" s="114" t="str">
        <f>[23]Summary!$Z$7</f>
        <v>-</v>
      </c>
      <c r="AM28" s="174"/>
      <c r="AN28" s="143">
        <f>[23]Summary!$AA$7</f>
        <v>42138</v>
      </c>
      <c r="AO28" s="114" t="str">
        <f>[23]Summary!$AB$7</f>
        <v>?</v>
      </c>
      <c r="AP28" s="114" t="str">
        <f>[23]Summary!$AC$7</f>
        <v>?</v>
      </c>
      <c r="AQ28" s="114" t="str">
        <f>[23]Summary!$AD$7</f>
        <v>?</v>
      </c>
      <c r="AR28" s="117" t="str">
        <f>[23]Summary!$AE$7</f>
        <v xml:space="preserve">RTL:
POST:
FPGA: </v>
      </c>
    </row>
    <row r="29" spans="2:44" ht="16.5" customHeight="1" x14ac:dyDescent="0.3">
      <c r="B29" s="196">
        <v>24</v>
      </c>
      <c r="C29" s="196" t="str">
        <f>[24]Summary!$B$7</f>
        <v>Test Mux</v>
      </c>
      <c r="D29" s="196" t="str">
        <f>[24]Summary!$C$7</f>
        <v>양창호 선임</v>
      </c>
      <c r="E29" s="196" t="str">
        <f>[24]Summary!$D$7</f>
        <v>양창호 선임</v>
      </c>
      <c r="F29" s="286"/>
      <c r="G29" s="196">
        <v>35</v>
      </c>
      <c r="H29" s="196">
        <v>30</v>
      </c>
      <c r="I29" s="196">
        <v>20</v>
      </c>
      <c r="J29" s="196">
        <v>15</v>
      </c>
      <c r="K29" s="196">
        <f>[24]Summary!$I$7</f>
        <v>0</v>
      </c>
      <c r="L29" s="199">
        <f>[24]Summary!$J$7</f>
        <v>0</v>
      </c>
      <c r="M29" s="200" t="str">
        <f>[24]Summary!$K$7</f>
        <v>-</v>
      </c>
      <c r="N29" s="200">
        <f>[24]Summary!$L$7</f>
        <v>0</v>
      </c>
      <c r="O29" s="200">
        <f>[24]Summary!$M$7</f>
        <v>0</v>
      </c>
      <c r="P29" s="196" t="str">
        <f>[24]Summary!$N$7</f>
        <v>-</v>
      </c>
      <c r="Q29" s="196">
        <f t="shared" si="0"/>
        <v>55</v>
      </c>
      <c r="R29" s="115">
        <f t="shared" si="1"/>
        <v>45</v>
      </c>
      <c r="S29" s="200">
        <f t="shared" si="2"/>
        <v>0.81818181818181823</v>
      </c>
      <c r="T29" s="115"/>
      <c r="U29" s="286"/>
      <c r="V29" s="196">
        <v>20</v>
      </c>
      <c r="W29" s="199">
        <v>20</v>
      </c>
      <c r="X29" s="200">
        <f t="shared" si="3"/>
        <v>1</v>
      </c>
      <c r="Y29" s="115"/>
      <c r="Z29" s="196" t="str">
        <f>[24]Summary!$R$7</f>
        <v>-</v>
      </c>
      <c r="AA29" s="286"/>
      <c r="AB29" s="196">
        <v>30</v>
      </c>
      <c r="AC29" s="199">
        <v>15</v>
      </c>
      <c r="AD29" s="200">
        <f t="shared" si="4"/>
        <v>0.5</v>
      </c>
      <c r="AE29" s="196" t="str">
        <f>[24]Summary!$V$7</f>
        <v>-</v>
      </c>
      <c r="AF29" s="115"/>
      <c r="AG29" s="286"/>
      <c r="AH29" s="196">
        <v>25</v>
      </c>
      <c r="AI29" s="199">
        <v>2</v>
      </c>
      <c r="AJ29" s="200">
        <f t="shared" si="5"/>
        <v>0.08</v>
      </c>
      <c r="AK29" s="115"/>
      <c r="AL29" s="196" t="str">
        <f>[24]Summary!$Z$7</f>
        <v>-</v>
      </c>
      <c r="AM29" s="174"/>
      <c r="AN29" s="201">
        <f>[24]Summary!$AA$7</f>
        <v>42138</v>
      </c>
      <c r="AO29" s="196" t="str">
        <f>[24]Summary!$AB$7</f>
        <v>?</v>
      </c>
      <c r="AP29" s="196" t="str">
        <f>[24]Summary!$AC$7</f>
        <v>?</v>
      </c>
      <c r="AQ29" s="196" t="str">
        <f>[24]Summary!$AD$7</f>
        <v>?</v>
      </c>
      <c r="AR29" s="202" t="str">
        <f>[24]Summary!$AE$7</f>
        <v xml:space="preserve">RTL:
POST:
FPGA: </v>
      </c>
    </row>
    <row r="30" spans="2:44" ht="16.5" customHeight="1" x14ac:dyDescent="0.3">
      <c r="B30" s="114">
        <v>25</v>
      </c>
      <c r="C30" s="114" t="str">
        <f>[25]Summary!$B$7</f>
        <v>HW Bypass</v>
      </c>
      <c r="D30" s="114" t="str">
        <f>[25]Summary!$C$7</f>
        <v>양창호 선임</v>
      </c>
      <c r="E30" s="114" t="str">
        <f>[25]Summary!$D$7</f>
        <v>양창호 선임</v>
      </c>
      <c r="F30" s="286"/>
      <c r="G30" s="114">
        <v>20</v>
      </c>
      <c r="H30" s="114">
        <v>20</v>
      </c>
      <c r="I30" s="114">
        <v>25</v>
      </c>
      <c r="J30" s="114">
        <v>25</v>
      </c>
      <c r="K30" s="114">
        <f>[25]Summary!$I$7</f>
        <v>0</v>
      </c>
      <c r="L30" s="115">
        <f>[25]Summary!$J$7</f>
        <v>0</v>
      </c>
      <c r="M30" s="116" t="str">
        <f>[25]Summary!$K$7</f>
        <v>-</v>
      </c>
      <c r="N30" s="116">
        <f>[25]Summary!$L$7</f>
        <v>0</v>
      </c>
      <c r="O30" s="116">
        <f>[25]Summary!$M$7</f>
        <v>0</v>
      </c>
      <c r="P30" s="114" t="str">
        <f>[25]Summary!$N$7</f>
        <v>-</v>
      </c>
      <c r="Q30" s="114">
        <f t="shared" si="0"/>
        <v>45</v>
      </c>
      <c r="R30" s="115">
        <f t="shared" si="1"/>
        <v>45</v>
      </c>
      <c r="S30" s="116">
        <f t="shared" si="2"/>
        <v>1</v>
      </c>
      <c r="T30" s="115"/>
      <c r="U30" s="286"/>
      <c r="V30" s="114">
        <v>25</v>
      </c>
      <c r="W30" s="115">
        <v>20</v>
      </c>
      <c r="X30" s="116">
        <f t="shared" si="3"/>
        <v>0.8</v>
      </c>
      <c r="Y30" s="115"/>
      <c r="Z30" s="114" t="str">
        <f>[25]Summary!$R$7</f>
        <v>-</v>
      </c>
      <c r="AA30" s="286"/>
      <c r="AB30" s="114">
        <v>25</v>
      </c>
      <c r="AC30" s="115">
        <v>5</v>
      </c>
      <c r="AD30" s="116">
        <f t="shared" si="4"/>
        <v>0.2</v>
      </c>
      <c r="AE30" s="114" t="str">
        <f>[25]Summary!$V$7</f>
        <v>-</v>
      </c>
      <c r="AF30" s="115"/>
      <c r="AG30" s="286"/>
      <c r="AH30" s="114">
        <v>30</v>
      </c>
      <c r="AI30" s="115">
        <v>2</v>
      </c>
      <c r="AJ30" s="116">
        <f t="shared" si="5"/>
        <v>6.6666666666666666E-2</v>
      </c>
      <c r="AK30" s="115"/>
      <c r="AL30" s="114" t="str">
        <f>[25]Summary!$Z$7</f>
        <v>-</v>
      </c>
      <c r="AM30" s="174"/>
      <c r="AN30" s="143">
        <f>[25]Summary!$AA$7</f>
        <v>42138</v>
      </c>
      <c r="AO30" s="114" t="str">
        <f>[25]Summary!$AB$7</f>
        <v>?</v>
      </c>
      <c r="AP30" s="114" t="str">
        <f>[25]Summary!$AC$7</f>
        <v>?</v>
      </c>
      <c r="AQ30" s="114" t="str">
        <f>[25]Summary!$AD$7</f>
        <v>?</v>
      </c>
      <c r="AR30" s="117" t="str">
        <f>[25]Summary!$AE$7</f>
        <v xml:space="preserve">RTL:
POST:
FPGA: </v>
      </c>
    </row>
    <row r="31" spans="2:44" ht="16.5" customHeight="1" x14ac:dyDescent="0.3">
      <c r="B31" s="196">
        <v>26</v>
      </c>
      <c r="C31" s="196" t="str">
        <f>[26]Summary!$B$7</f>
        <v>Analog IP</v>
      </c>
      <c r="D31" s="196" t="str">
        <f>[26]Summary!$C$7</f>
        <v>양창호 선임</v>
      </c>
      <c r="E31" s="196" t="str">
        <f>[26]Summary!$D$7</f>
        <v>양창호 선임</v>
      </c>
      <c r="F31" s="286"/>
      <c r="G31" s="196">
        <v>20</v>
      </c>
      <c r="H31" s="196">
        <v>18</v>
      </c>
      <c r="I31" s="196">
        <v>30</v>
      </c>
      <c r="J31" s="196">
        <v>30</v>
      </c>
      <c r="K31" s="196">
        <f>[26]Summary!$I$7</f>
        <v>0</v>
      </c>
      <c r="L31" s="199">
        <f>[26]Summary!$J$7</f>
        <v>0</v>
      </c>
      <c r="M31" s="200" t="str">
        <f>[26]Summary!$K$7</f>
        <v>-</v>
      </c>
      <c r="N31" s="200">
        <f>[26]Summary!$L$7</f>
        <v>0</v>
      </c>
      <c r="O31" s="200">
        <f>[26]Summary!$M$7</f>
        <v>0</v>
      </c>
      <c r="P31" s="196" t="str">
        <f>[26]Summary!$N$7</f>
        <v>-</v>
      </c>
      <c r="Q31" s="196">
        <f t="shared" si="0"/>
        <v>50</v>
      </c>
      <c r="R31" s="115">
        <f t="shared" si="1"/>
        <v>48</v>
      </c>
      <c r="S31" s="200">
        <f t="shared" si="2"/>
        <v>0.96</v>
      </c>
      <c r="T31" s="115"/>
      <c r="U31" s="286"/>
      <c r="V31" s="196">
        <v>30</v>
      </c>
      <c r="W31" s="199">
        <v>20</v>
      </c>
      <c r="X31" s="200">
        <f t="shared" si="3"/>
        <v>0.66666666666666663</v>
      </c>
      <c r="Y31" s="115"/>
      <c r="Z31" s="196" t="str">
        <f>[26]Summary!$R$7</f>
        <v>-</v>
      </c>
      <c r="AA31" s="286"/>
      <c r="AB31" s="196">
        <v>30</v>
      </c>
      <c r="AC31" s="199">
        <v>2</v>
      </c>
      <c r="AD31" s="200">
        <f t="shared" si="4"/>
        <v>6.6666666666666666E-2</v>
      </c>
      <c r="AE31" s="196" t="str">
        <f>[26]Summary!$V$7</f>
        <v>-</v>
      </c>
      <c r="AF31" s="115"/>
      <c r="AG31" s="286"/>
      <c r="AH31" s="196">
        <v>40</v>
      </c>
      <c r="AI31" s="199">
        <v>5</v>
      </c>
      <c r="AJ31" s="200">
        <f t="shared" si="5"/>
        <v>0.125</v>
      </c>
      <c r="AK31" s="115"/>
      <c r="AL31" s="196" t="str">
        <f>[26]Summary!$Z$7</f>
        <v>-</v>
      </c>
      <c r="AM31" s="174"/>
      <c r="AN31" s="201">
        <f>[26]Summary!$AA$7</f>
        <v>42138</v>
      </c>
      <c r="AO31" s="196" t="str">
        <f>[26]Summary!$AB$7</f>
        <v>?</v>
      </c>
      <c r="AP31" s="196" t="str">
        <f>[26]Summary!$AC$7</f>
        <v>?</v>
      </c>
      <c r="AQ31" s="196" t="str">
        <f>[26]Summary!$AD$7</f>
        <v>?</v>
      </c>
      <c r="AR31" s="202" t="str">
        <f>[26]Summary!$AE$7</f>
        <v xml:space="preserve">RTL:
POST:
FPGA: </v>
      </c>
    </row>
    <row r="32" spans="2:44" ht="16.5" customHeight="1" x14ac:dyDescent="0.3">
      <c r="B32" s="114">
        <v>27</v>
      </c>
      <c r="C32" s="114" t="str">
        <f>[27]Summary!$B$7</f>
        <v>GPIO</v>
      </c>
      <c r="D32" s="114" t="str">
        <f>[27]Summary!$C$7</f>
        <v>양창호 선임</v>
      </c>
      <c r="E32" s="114" t="str">
        <f>[27]Summary!$D$7</f>
        <v>양창호 선임</v>
      </c>
      <c r="F32" s="286"/>
      <c r="G32" s="114">
        <v>20</v>
      </c>
      <c r="H32" s="114">
        <v>10</v>
      </c>
      <c r="I32" s="114">
        <v>40</v>
      </c>
      <c r="J32" s="114">
        <v>35</v>
      </c>
      <c r="K32" s="114">
        <f>[27]Summary!$I$7</f>
        <v>0</v>
      </c>
      <c r="L32" s="115">
        <f>[27]Summary!$J$7</f>
        <v>0</v>
      </c>
      <c r="M32" s="116" t="str">
        <f>[27]Summary!$K$7</f>
        <v>-</v>
      </c>
      <c r="N32" s="116">
        <f>[27]Summary!$L$7</f>
        <v>0</v>
      </c>
      <c r="O32" s="116">
        <f>[27]Summary!$M$7</f>
        <v>0</v>
      </c>
      <c r="P32" s="114" t="str">
        <f>[27]Summary!$N$7</f>
        <v>-</v>
      </c>
      <c r="Q32" s="114">
        <f t="shared" si="0"/>
        <v>60</v>
      </c>
      <c r="R32" s="115">
        <f t="shared" si="1"/>
        <v>45</v>
      </c>
      <c r="S32" s="116">
        <f t="shared" si="2"/>
        <v>0.75</v>
      </c>
      <c r="T32" s="115"/>
      <c r="U32" s="286"/>
      <c r="V32" s="114">
        <v>30</v>
      </c>
      <c r="W32" s="115">
        <v>20</v>
      </c>
      <c r="X32" s="116">
        <f t="shared" si="3"/>
        <v>0.66666666666666663</v>
      </c>
      <c r="Y32" s="115"/>
      <c r="Z32" s="114" t="str">
        <f>[27]Summary!$R$7</f>
        <v>-</v>
      </c>
      <c r="AA32" s="286"/>
      <c r="AB32" s="114">
        <v>20</v>
      </c>
      <c r="AC32" s="115">
        <v>3</v>
      </c>
      <c r="AD32" s="116">
        <f t="shared" si="4"/>
        <v>0.15</v>
      </c>
      <c r="AE32" s="114" t="str">
        <f>[27]Summary!$V$7</f>
        <v>-</v>
      </c>
      <c r="AF32" s="115"/>
      <c r="AG32" s="286"/>
      <c r="AH32" s="114">
        <v>50</v>
      </c>
      <c r="AI32" s="115">
        <v>2</v>
      </c>
      <c r="AJ32" s="116">
        <f t="shared" si="5"/>
        <v>0.04</v>
      </c>
      <c r="AK32" s="115"/>
      <c r="AL32" s="114" t="str">
        <f>[27]Summary!$Z$7</f>
        <v>-</v>
      </c>
      <c r="AM32" s="174"/>
      <c r="AN32" s="143">
        <f>[27]Summary!$AA$7</f>
        <v>42138</v>
      </c>
      <c r="AO32" s="114" t="str">
        <f>[27]Summary!$AB$7</f>
        <v>?</v>
      </c>
      <c r="AP32" s="114" t="str">
        <f>[27]Summary!$AC$7</f>
        <v>?</v>
      </c>
      <c r="AQ32" s="114" t="str">
        <f>[27]Summary!$AD$7</f>
        <v>?</v>
      </c>
      <c r="AR32" s="117" t="str">
        <f>[27]Summary!$AE$7</f>
        <v xml:space="preserve">RTL:
POST:
FPGA: </v>
      </c>
    </row>
    <row r="33" spans="2:44" ht="16.5" customHeight="1" x14ac:dyDescent="0.3">
      <c r="B33" s="164" t="s">
        <v>71</v>
      </c>
      <c r="C33" s="164" t="str">
        <f>[28]Summary!$B$7</f>
        <v>End to End</v>
      </c>
      <c r="D33" s="164" t="str">
        <f>[28]Summary!$C$7</f>
        <v>ALL</v>
      </c>
      <c r="E33" s="164" t="str">
        <f>[28]Summary!$D$7</f>
        <v>조성엽 책임</v>
      </c>
      <c r="F33" s="286"/>
      <c r="G33" s="164">
        <v>10</v>
      </c>
      <c r="H33" s="164">
        <v>5</v>
      </c>
      <c r="I33" s="164">
        <v>10</v>
      </c>
      <c r="J33" s="164">
        <f>[28]Summary!$H$7</f>
        <v>0</v>
      </c>
      <c r="K33" s="164">
        <f>[28]Summary!$I$7</f>
        <v>0</v>
      </c>
      <c r="L33" s="167">
        <f>[28]Summary!$J$7</f>
        <v>0</v>
      </c>
      <c r="M33" s="168" t="str">
        <f>[28]Summary!$K$7</f>
        <v>-</v>
      </c>
      <c r="N33" s="168">
        <f>[28]Summary!$L$7</f>
        <v>0</v>
      </c>
      <c r="O33" s="168">
        <f>[28]Summary!$M$7</f>
        <v>0</v>
      </c>
      <c r="P33" s="164" t="str">
        <f>[28]Summary!$N$7</f>
        <v>-</v>
      </c>
      <c r="Q33" s="164">
        <f t="shared" si="0"/>
        <v>20</v>
      </c>
      <c r="R33" s="115">
        <f t="shared" si="1"/>
        <v>5</v>
      </c>
      <c r="S33" s="168">
        <f t="shared" si="2"/>
        <v>0.25</v>
      </c>
      <c r="T33" s="115"/>
      <c r="U33" s="286"/>
      <c r="V33" s="164">
        <v>25</v>
      </c>
      <c r="W33" s="167">
        <v>15</v>
      </c>
      <c r="X33" s="168">
        <f t="shared" si="3"/>
        <v>0.6</v>
      </c>
      <c r="Y33" s="115"/>
      <c r="Z33" s="164" t="str">
        <f>[28]Summary!$R$7</f>
        <v>-</v>
      </c>
      <c r="AA33" s="286"/>
      <c r="AB33" s="164">
        <v>25</v>
      </c>
      <c r="AC33" s="167">
        <v>5</v>
      </c>
      <c r="AD33" s="168">
        <f t="shared" si="4"/>
        <v>0.2</v>
      </c>
      <c r="AE33" s="164" t="str">
        <f>[28]Summary!$V$7</f>
        <v>-</v>
      </c>
      <c r="AF33" s="115"/>
      <c r="AG33" s="286"/>
      <c r="AH33" s="164">
        <v>20</v>
      </c>
      <c r="AI33" s="167">
        <v>5</v>
      </c>
      <c r="AJ33" s="168">
        <f t="shared" si="5"/>
        <v>0.25</v>
      </c>
      <c r="AK33" s="115"/>
      <c r="AL33" s="164" t="str">
        <f>[28]Summary!$Z$7</f>
        <v>-</v>
      </c>
      <c r="AM33" s="174"/>
      <c r="AN33" s="203">
        <f>[28]Summary!$AA$7</f>
        <v>42138</v>
      </c>
      <c r="AO33" s="164" t="str">
        <f>[28]Summary!$AB$7</f>
        <v>?</v>
      </c>
      <c r="AP33" s="164" t="str">
        <f>[28]Summary!$AC$7</f>
        <v>?</v>
      </c>
      <c r="AQ33" s="164" t="str">
        <f>[28]Summary!$AD$7</f>
        <v>?</v>
      </c>
      <c r="AR33" s="204" t="str">
        <f>[28]Summary!$AE$7</f>
        <v xml:space="preserve">RTL:
POST:
FPGA: </v>
      </c>
    </row>
    <row r="34" spans="2:44" ht="16.5" customHeight="1" x14ac:dyDescent="0.3">
      <c r="B34" s="164" t="s">
        <v>71</v>
      </c>
      <c r="C34" s="164" t="str">
        <f>[29]Summary!$B$7</f>
        <v>Post-Silicon Validation</v>
      </c>
      <c r="D34" s="164" t="str">
        <f>[29]Summary!$C$7</f>
        <v>ALL</v>
      </c>
      <c r="E34" s="164" t="str">
        <f>[29]Summary!$D$7</f>
        <v>ALL</v>
      </c>
      <c r="F34" s="286"/>
      <c r="G34" s="164"/>
      <c r="H34" s="164"/>
      <c r="I34" s="164"/>
      <c r="J34" s="164"/>
      <c r="K34" s="164"/>
      <c r="L34" s="167"/>
      <c r="M34" s="168"/>
      <c r="N34" s="168"/>
      <c r="O34" s="168"/>
      <c r="P34" s="164"/>
      <c r="Q34" s="164"/>
      <c r="R34" s="164"/>
      <c r="S34" s="168"/>
      <c r="T34" s="164"/>
      <c r="U34" s="286"/>
      <c r="V34" s="164"/>
      <c r="W34" s="167"/>
      <c r="X34" s="168"/>
      <c r="Y34" s="164"/>
      <c r="Z34" s="164"/>
      <c r="AA34" s="286"/>
      <c r="AB34" s="164"/>
      <c r="AC34" s="167"/>
      <c r="AD34" s="168"/>
      <c r="AE34" s="164"/>
      <c r="AF34" s="164"/>
      <c r="AG34" s="286"/>
      <c r="AH34" s="164"/>
      <c r="AI34" s="167"/>
      <c r="AJ34" s="168"/>
      <c r="AK34" s="164"/>
      <c r="AL34" s="164"/>
      <c r="AM34" s="174"/>
      <c r="AN34" s="203"/>
      <c r="AO34" s="164"/>
      <c r="AP34" s="164"/>
      <c r="AQ34" s="164"/>
      <c r="AR34" s="204"/>
    </row>
    <row r="35" spans="2:44" ht="16.5" customHeight="1" x14ac:dyDescent="0.3">
      <c r="B35" s="306" t="s">
        <v>32</v>
      </c>
      <c r="C35" s="306"/>
      <c r="D35" s="307"/>
      <c r="E35" s="308"/>
      <c r="F35" s="176"/>
      <c r="G35" s="279">
        <f>AVERAGE(G6:G33)</f>
        <v>18.714285714285715</v>
      </c>
      <c r="H35" s="279">
        <f t="shared" ref="H35:K35" si="6">AVERAGE(H6:H33)</f>
        <v>14.642857142857142</v>
      </c>
      <c r="I35" s="279">
        <f t="shared" si="6"/>
        <v>24</v>
      </c>
      <c r="J35" s="279">
        <f t="shared" si="6"/>
        <v>19.035714285714285</v>
      </c>
      <c r="K35" s="279">
        <f t="shared" si="6"/>
        <v>0</v>
      </c>
      <c r="L35" s="280">
        <f>AVERAGE(L6:L33)</f>
        <v>0</v>
      </c>
      <c r="M35" s="281"/>
      <c r="N35" s="282">
        <f>AVERAGE(N7:N33)</f>
        <v>0</v>
      </c>
      <c r="O35" s="282">
        <f>AVERAGE(O6:O33)</f>
        <v>0</v>
      </c>
      <c r="P35" s="283"/>
      <c r="Q35" s="279">
        <f>AVERAGE(Q6:Q33)</f>
        <v>42.714285714285715</v>
      </c>
      <c r="R35" s="279">
        <f t="shared" ref="R35" si="7">AVERAGE(R6:R33)</f>
        <v>33.678571428571431</v>
      </c>
      <c r="S35" s="271"/>
      <c r="T35" s="271"/>
      <c r="U35" s="146"/>
      <c r="V35" s="279">
        <f>AVERAGE(V6:V33)</f>
        <v>30.357142857142858</v>
      </c>
      <c r="W35" s="280">
        <f>AVERAGE(W6:W33)</f>
        <v>24.678571428571427</v>
      </c>
      <c r="X35" s="281" t="s">
        <v>31</v>
      </c>
      <c r="Y35" s="271"/>
      <c r="Z35" s="283"/>
      <c r="AA35" s="146"/>
      <c r="AB35" s="279">
        <f>AVERAGE(AB6:AB33)</f>
        <v>26.428571428571427</v>
      </c>
      <c r="AC35" s="280">
        <f>AVERAGE(AC6:AC33)</f>
        <v>19.357142857142858</v>
      </c>
      <c r="AD35" s="281" t="s">
        <v>31</v>
      </c>
      <c r="AE35" s="283"/>
      <c r="AF35" s="271"/>
      <c r="AG35" s="147"/>
      <c r="AH35" s="284">
        <f>AVERAGE(AH6:AH33)</f>
        <v>26.607142857142858</v>
      </c>
      <c r="AI35" s="280">
        <f>AVERAGE(AI6:AI33)</f>
        <v>4.2142857142857144</v>
      </c>
      <c r="AJ35" s="281" t="s">
        <v>31</v>
      </c>
      <c r="AK35" s="271"/>
      <c r="AL35" s="285"/>
      <c r="AM35" s="111"/>
      <c r="AO35" s="106"/>
      <c r="AP35" s="106"/>
      <c r="AQ35" s="106"/>
      <c r="AR35" s="107"/>
    </row>
    <row r="36" spans="2:44" ht="16.5" customHeight="1" x14ac:dyDescent="0.3">
      <c r="B36" s="309" t="s">
        <v>72</v>
      </c>
      <c r="C36" s="309"/>
      <c r="D36" s="307"/>
      <c r="E36" s="308"/>
      <c r="F36" s="176"/>
      <c r="G36" s="154">
        <f>SUM(G6:G33)</f>
        <v>524</v>
      </c>
      <c r="H36" s="154">
        <f t="shared" ref="H36:K36" si="8">SUM(H6:H33)</f>
        <v>410</v>
      </c>
      <c r="I36" s="154">
        <f t="shared" si="8"/>
        <v>672</v>
      </c>
      <c r="J36" s="154">
        <f t="shared" si="8"/>
        <v>533</v>
      </c>
      <c r="K36" s="154">
        <f t="shared" si="8"/>
        <v>0</v>
      </c>
      <c r="L36" s="178">
        <f>SUM(L6:L33)</f>
        <v>0</v>
      </c>
      <c r="M36" s="179">
        <f>IF(G36=0, "-", L36/G36)</f>
        <v>0</v>
      </c>
      <c r="N36" s="175" t="s">
        <v>31</v>
      </c>
      <c r="O36" s="175" t="s">
        <v>31</v>
      </c>
      <c r="P36" s="169"/>
      <c r="Q36" s="154">
        <f>SUM(Q6:Q33)</f>
        <v>1196</v>
      </c>
      <c r="R36" s="154">
        <f t="shared" ref="R36" si="9">SUM(R6:R33)</f>
        <v>943</v>
      </c>
      <c r="S36" s="272"/>
      <c r="T36" s="272"/>
      <c r="U36" s="146"/>
      <c r="V36" s="242">
        <f>SUM(V6:V33)</f>
        <v>850</v>
      </c>
      <c r="W36" s="183">
        <f>SUM(W6:W33)</f>
        <v>691</v>
      </c>
      <c r="X36" s="184">
        <f>IF(V36=0, "-", W36/V36)</f>
        <v>0.81294117647058828</v>
      </c>
      <c r="Y36" s="272"/>
      <c r="Z36" s="142"/>
      <c r="AA36" s="146"/>
      <c r="AB36" s="214">
        <f>SUM(AB6:AB33)</f>
        <v>740</v>
      </c>
      <c r="AC36" s="215">
        <f>SUM(AC6:AC33)</f>
        <v>542</v>
      </c>
      <c r="AD36" s="216">
        <f>IF(AB36=0, "-", AC36/AB36)</f>
        <v>0.73243243243243239</v>
      </c>
      <c r="AE36" s="217"/>
      <c r="AF36" s="272"/>
      <c r="AG36" s="218"/>
      <c r="AH36" s="219">
        <f>SUM(AH6:AH33)</f>
        <v>745</v>
      </c>
      <c r="AI36" s="220">
        <f>SUM(AI6:AI33)</f>
        <v>118</v>
      </c>
      <c r="AJ36" s="221">
        <f>IF(AH36=0, "-", AI36/AH36)</f>
        <v>0.15838926174496645</v>
      </c>
      <c r="AK36" s="272"/>
      <c r="AL36" s="213"/>
    </row>
    <row r="37" spans="2:44" ht="16.5" customHeight="1" x14ac:dyDescent="0.3">
      <c r="B37" s="303" t="s">
        <v>42</v>
      </c>
      <c r="C37" s="303"/>
      <c r="D37" s="304"/>
      <c r="E37" s="305"/>
      <c r="F37" s="24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11"/>
      <c r="R37" s="111"/>
      <c r="S37" s="111"/>
      <c r="T37" s="111"/>
      <c r="U37" s="174"/>
      <c r="V37" s="180">
        <f>G36+V36</f>
        <v>1374</v>
      </c>
      <c r="W37" s="181">
        <f>L36+W36</f>
        <v>691</v>
      </c>
      <c r="X37" s="182">
        <f>IF(V37=0, "-", W37/V37)</f>
        <v>0.50291120815138279</v>
      </c>
      <c r="Y37" s="111"/>
      <c r="Z37" s="142"/>
      <c r="AA37" s="147"/>
      <c r="AB37" s="170"/>
      <c r="AC37" s="171"/>
      <c r="AD37" s="172"/>
      <c r="AE37" s="173"/>
      <c r="AF37" s="111"/>
      <c r="AG37" s="111"/>
      <c r="AH37" s="243"/>
      <c r="AI37" s="191"/>
      <c r="AJ37" s="192"/>
      <c r="AK37" s="111"/>
      <c r="AL37" s="140"/>
    </row>
    <row r="38" spans="2:44" ht="16.5" customHeight="1" x14ac:dyDescent="0.3">
      <c r="AH38" s="107"/>
      <c r="AI38" s="107"/>
      <c r="AJ38" s="107"/>
      <c r="AL38" s="107"/>
    </row>
    <row r="39" spans="2:44" ht="16.5" customHeight="1" x14ac:dyDescent="0.3">
      <c r="AH39" s="107"/>
      <c r="AI39" s="107"/>
      <c r="AJ39" s="107"/>
      <c r="AL39" s="107"/>
      <c r="AN39" s="159">
        <v>1</v>
      </c>
      <c r="AO39" s="160"/>
    </row>
    <row r="40" spans="2:44" x14ac:dyDescent="0.3">
      <c r="AN40" s="157">
        <v>0.9</v>
      </c>
      <c r="AO40" s="156"/>
    </row>
    <row r="41" spans="2:44" x14ac:dyDescent="0.3">
      <c r="AN41" s="157">
        <v>0.7</v>
      </c>
      <c r="AO41" s="157"/>
    </row>
    <row r="42" spans="2:44" x14ac:dyDescent="0.3">
      <c r="AN42" s="157">
        <v>0.5</v>
      </c>
      <c r="AO42" s="157"/>
    </row>
    <row r="43" spans="2:44" x14ac:dyDescent="0.3">
      <c r="AN43" s="158">
        <v>0</v>
      </c>
      <c r="AO43" s="157"/>
    </row>
    <row r="46" spans="2:44" x14ac:dyDescent="0.3">
      <c r="AO46" s="195"/>
      <c r="AP46" s="162"/>
    </row>
  </sheetData>
  <mergeCells count="23">
    <mergeCell ref="AR3:AR5"/>
    <mergeCell ref="AH3:AL3"/>
    <mergeCell ref="AB3:AE3"/>
    <mergeCell ref="V3:Z3"/>
    <mergeCell ref="G3:P3"/>
    <mergeCell ref="AN3:AQ3"/>
    <mergeCell ref="B37:C37"/>
    <mergeCell ref="D37:E37"/>
    <mergeCell ref="B35:C35"/>
    <mergeCell ref="D35:E35"/>
    <mergeCell ref="B36:C36"/>
    <mergeCell ref="D36:E36"/>
    <mergeCell ref="P4:P5"/>
    <mergeCell ref="O4:O5"/>
    <mergeCell ref="N4:N5"/>
    <mergeCell ref="K4:L4"/>
    <mergeCell ref="I4:J4"/>
    <mergeCell ref="G4:H4"/>
    <mergeCell ref="E3:E5"/>
    <mergeCell ref="D3:D5"/>
    <mergeCell ref="B3:B5"/>
    <mergeCell ref="B2:AN2"/>
    <mergeCell ref="AP2:AR2"/>
  </mergeCells>
  <phoneticPr fontId="1" type="noConversion"/>
  <conditionalFormatting sqref="AN39:AN43 X6:X34 M6:O34 AD6:AD34 AJ6:AJ34">
    <cfRule type="iconSet" priority="2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G6:K34">
    <cfRule type="dataBar" priority="3">
      <dataBar>
        <cfvo type="min"/>
        <cfvo type="max"/>
        <color rgb="FF63C384"/>
      </dataBar>
    </cfRule>
  </conditionalFormatting>
  <conditionalFormatting sqref="L6:L34">
    <cfRule type="dataBar" priority="4">
      <dataBar>
        <cfvo type="min"/>
        <cfvo type="max"/>
        <color rgb="FF63C384"/>
      </dataBar>
    </cfRule>
  </conditionalFormatting>
  <conditionalFormatting sqref="V6:W34">
    <cfRule type="dataBar" priority="5">
      <dataBar>
        <cfvo type="min"/>
        <cfvo type="max"/>
        <color rgb="FF63C384"/>
      </dataBar>
    </cfRule>
  </conditionalFormatting>
  <conditionalFormatting sqref="AH6:AI34 AB6:AC34">
    <cfRule type="dataBar" priority="6">
      <dataBar>
        <cfvo type="min"/>
        <cfvo type="max"/>
        <color rgb="FF63C384"/>
      </dataBar>
    </cfRule>
  </conditionalFormatting>
  <conditionalFormatting sqref="AN6:AN34">
    <cfRule type="colorScale" priority="7">
      <colorScale>
        <cfvo type="min"/>
        <cfvo type="max"/>
        <color rgb="FFFFEF9C"/>
        <color rgb="FF63BE7B"/>
      </colorScale>
    </cfRule>
  </conditionalFormatting>
  <conditionalFormatting sqref="S6:S34">
    <cfRule type="iconSet" priority="1">
      <iconSet iconSet="4TrafficLights">
        <cfvo type="percent" val="0"/>
        <cfvo type="percent" val="50"/>
        <cfvo type="percent" val="70"/>
        <cfvo type="percent" val="90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46"/>
  <sheetViews>
    <sheetView showGridLines="0" zoomScale="90" zoomScaleNormal="90" workbookViewId="0">
      <selection activeCell="H51" sqref="H51"/>
    </sheetView>
  </sheetViews>
  <sheetFormatPr defaultRowHeight="12" outlineLevelCol="1" x14ac:dyDescent="0.3"/>
  <cols>
    <col min="1" max="1" width="1.25" style="102" customWidth="1"/>
    <col min="2" max="2" width="4" style="102" bestFit="1" customWidth="1"/>
    <col min="3" max="3" width="18.75" style="102" bestFit="1" customWidth="1"/>
    <col min="4" max="5" width="9.875" style="102" customWidth="1" outlineLevel="1"/>
    <col min="6" max="6" width="0.5" style="139" customWidth="1"/>
    <col min="7" max="11" width="5.875" style="102" customWidth="1"/>
    <col min="12" max="12" width="6.75" style="102" customWidth="1"/>
    <col min="13" max="13" width="8.25" style="102" customWidth="1"/>
    <col min="14" max="14" width="8.125" style="102" customWidth="1"/>
    <col min="15" max="15" width="7.25" style="102" customWidth="1"/>
    <col min="16" max="18" width="5.25" style="102" customWidth="1"/>
    <col min="19" max="19" width="0.5" style="139" customWidth="1"/>
    <col min="20" max="20" width="5.875" style="102" customWidth="1"/>
    <col min="21" max="21" width="7.375" style="102" customWidth="1"/>
    <col min="22" max="22" width="8.25" style="102" customWidth="1"/>
    <col min="23" max="23" width="5.25" style="102" customWidth="1"/>
    <col min="24" max="24" width="0.5" style="139" customWidth="1"/>
    <col min="25" max="25" width="5.75" style="102" customWidth="1" outlineLevel="1"/>
    <col min="26" max="26" width="6.375" style="102" customWidth="1" outlineLevel="1"/>
    <col min="27" max="27" width="8.125" style="102" customWidth="1" outlineLevel="1"/>
    <col min="28" max="28" width="5.25" style="102" customWidth="1" outlineLevel="1"/>
    <col min="29" max="29" width="0.5" style="139" customWidth="1" outlineLevel="1"/>
    <col min="30" max="30" width="5.75" style="102" customWidth="1" outlineLevel="1"/>
    <col min="31" max="31" width="6.375" style="102" customWidth="1" outlineLevel="1"/>
    <col min="32" max="32" width="8.125" style="102" customWidth="1" outlineLevel="1"/>
    <col min="33" max="33" width="5.25" style="102" customWidth="1" outlineLevel="1"/>
    <col min="34" max="34" width="0.5" style="140" customWidth="1" outlineLevel="1"/>
    <col min="35" max="35" width="8" style="102" bestFit="1" customWidth="1"/>
    <col min="36" max="38" width="5.625" style="102" customWidth="1"/>
    <col min="39" max="39" width="37.375" style="102" customWidth="1"/>
    <col min="40" max="16384" width="9" style="102"/>
  </cols>
  <sheetData>
    <row r="1" spans="2:39" ht="5.25" customHeight="1" x14ac:dyDescent="0.3"/>
    <row r="2" spans="2:39" ht="26.25" x14ac:dyDescent="0.3">
      <c r="B2" s="287" t="s">
        <v>73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185"/>
      <c r="AK2" s="288">
        <v>42138</v>
      </c>
      <c r="AL2" s="288"/>
      <c r="AM2" s="288"/>
    </row>
    <row r="3" spans="2:39" x14ac:dyDescent="0.3">
      <c r="B3" s="289" t="s">
        <v>1</v>
      </c>
      <c r="C3" s="261" t="s">
        <v>2</v>
      </c>
      <c r="D3" s="291" t="s">
        <v>16</v>
      </c>
      <c r="E3" s="293" t="s">
        <v>17</v>
      </c>
      <c r="F3" s="145"/>
      <c r="G3" s="295" t="s">
        <v>36</v>
      </c>
      <c r="H3" s="295"/>
      <c r="I3" s="295"/>
      <c r="J3" s="295"/>
      <c r="K3" s="295"/>
      <c r="L3" s="289"/>
      <c r="M3" s="289"/>
      <c r="N3" s="289"/>
      <c r="O3" s="289"/>
      <c r="P3" s="296"/>
      <c r="Q3" s="255"/>
      <c r="R3" s="255"/>
      <c r="S3" s="144"/>
      <c r="T3" s="295" t="s">
        <v>14</v>
      </c>
      <c r="U3" s="289"/>
      <c r="V3" s="289"/>
      <c r="W3" s="296"/>
      <c r="X3" s="144"/>
      <c r="Y3" s="295" t="s">
        <v>37</v>
      </c>
      <c r="Z3" s="289"/>
      <c r="AA3" s="289"/>
      <c r="AB3" s="296"/>
      <c r="AC3" s="187"/>
      <c r="AD3" s="297" t="s">
        <v>38</v>
      </c>
      <c r="AE3" s="298"/>
      <c r="AF3" s="298"/>
      <c r="AG3" s="300"/>
      <c r="AH3" s="189"/>
      <c r="AI3" s="302" t="s">
        <v>12</v>
      </c>
      <c r="AJ3" s="302"/>
      <c r="AK3" s="302"/>
      <c r="AL3" s="295"/>
      <c r="AM3" s="289" t="s">
        <v>9</v>
      </c>
    </row>
    <row r="4" spans="2:39" x14ac:dyDescent="0.3">
      <c r="B4" s="290"/>
      <c r="C4" s="262"/>
      <c r="D4" s="292"/>
      <c r="E4" s="294"/>
      <c r="F4" s="145"/>
      <c r="G4" s="296" t="s">
        <v>74</v>
      </c>
      <c r="H4" s="295"/>
      <c r="I4" s="296" t="s">
        <v>75</v>
      </c>
      <c r="J4" s="295"/>
      <c r="K4" s="296" t="s">
        <v>76</v>
      </c>
      <c r="L4" s="295"/>
      <c r="M4" s="244" t="s">
        <v>77</v>
      </c>
      <c r="N4" s="292" t="s">
        <v>40</v>
      </c>
      <c r="O4" s="292" t="s">
        <v>41</v>
      </c>
      <c r="P4" s="292" t="s">
        <v>10</v>
      </c>
      <c r="Q4" s="256"/>
      <c r="R4" s="256"/>
      <c r="S4" s="144"/>
      <c r="T4" s="262" t="s">
        <v>0</v>
      </c>
      <c r="U4" s="262" t="s">
        <v>7</v>
      </c>
      <c r="V4" s="262" t="s">
        <v>39</v>
      </c>
      <c r="W4" s="263" t="s">
        <v>10</v>
      </c>
      <c r="X4" s="144"/>
      <c r="Y4" s="262" t="s">
        <v>0</v>
      </c>
      <c r="Z4" s="262" t="s">
        <v>7</v>
      </c>
      <c r="AA4" s="262" t="s">
        <v>39</v>
      </c>
      <c r="AB4" s="263" t="s">
        <v>10</v>
      </c>
      <c r="AC4" s="187"/>
      <c r="AD4" s="264" t="s">
        <v>0</v>
      </c>
      <c r="AE4" s="262" t="s">
        <v>7</v>
      </c>
      <c r="AF4" s="262" t="s">
        <v>39</v>
      </c>
      <c r="AG4" s="265" t="s">
        <v>10</v>
      </c>
      <c r="AH4" s="189"/>
      <c r="AI4" s="266" t="s">
        <v>19</v>
      </c>
      <c r="AJ4" s="266" t="s">
        <v>5</v>
      </c>
      <c r="AK4" s="266" t="s">
        <v>14</v>
      </c>
      <c r="AL4" s="266" t="s">
        <v>38</v>
      </c>
      <c r="AM4" s="290"/>
    </row>
    <row r="5" spans="2:39" ht="24" x14ac:dyDescent="0.3">
      <c r="B5" s="290"/>
      <c r="C5" s="262" t="s">
        <v>125</v>
      </c>
      <c r="D5" s="292"/>
      <c r="E5" s="294"/>
      <c r="F5" s="145"/>
      <c r="G5" s="154" t="s">
        <v>0</v>
      </c>
      <c r="H5" s="244" t="s">
        <v>7</v>
      </c>
      <c r="I5" s="154" t="s">
        <v>0</v>
      </c>
      <c r="J5" s="244" t="s">
        <v>7</v>
      </c>
      <c r="K5" s="154" t="s">
        <v>0</v>
      </c>
      <c r="L5" s="244" t="s">
        <v>7</v>
      </c>
      <c r="M5" s="244" t="s">
        <v>39</v>
      </c>
      <c r="N5" s="312"/>
      <c r="O5" s="312"/>
      <c r="P5" s="312"/>
      <c r="Q5" s="256" t="s">
        <v>126</v>
      </c>
      <c r="R5" s="256" t="s">
        <v>127</v>
      </c>
      <c r="S5" s="145"/>
      <c r="T5" s="267" t="s">
        <v>128</v>
      </c>
      <c r="U5" s="267" t="s">
        <v>129</v>
      </c>
      <c r="V5" s="267"/>
      <c r="W5" s="268"/>
      <c r="X5" s="145"/>
      <c r="Y5" s="267" t="s">
        <v>130</v>
      </c>
      <c r="Z5" s="267" t="s">
        <v>131</v>
      </c>
      <c r="AA5" s="267"/>
      <c r="AB5" s="268"/>
      <c r="AC5" s="188"/>
      <c r="AD5" s="269" t="s">
        <v>132</v>
      </c>
      <c r="AE5" s="267" t="s">
        <v>133</v>
      </c>
      <c r="AF5" s="267"/>
      <c r="AG5" s="270"/>
      <c r="AH5" s="190"/>
      <c r="AI5" s="266"/>
      <c r="AJ5" s="266"/>
      <c r="AK5" s="266"/>
      <c r="AL5" s="266"/>
      <c r="AM5" s="290"/>
    </row>
    <row r="6" spans="2:39" x14ac:dyDescent="0.3">
      <c r="B6" s="114">
        <v>1</v>
      </c>
      <c r="C6" s="114" t="str">
        <f>[1]Summary!$B$7</f>
        <v>Cortex-M3</v>
      </c>
      <c r="D6" s="114" t="str">
        <f>[1]Summary!$C$7</f>
        <v>최호윤 수석</v>
      </c>
      <c r="E6" s="141" t="str">
        <f>[1]Summary!$D$7</f>
        <v>조성엽 책임</v>
      </c>
      <c r="F6" s="146"/>
      <c r="G6" s="155">
        <v>10</v>
      </c>
      <c r="H6" s="155">
        <v>10</v>
      </c>
      <c r="I6" s="155">
        <v>12</v>
      </c>
      <c r="J6" s="155">
        <v>5</v>
      </c>
      <c r="K6" s="155">
        <f>[1]Summary!$I$7</f>
        <v>0</v>
      </c>
      <c r="L6" s="115">
        <f>[1]Summary!$J$7</f>
        <v>0</v>
      </c>
      <c r="M6" s="116" t="str">
        <f>[1]Summary!$K$7</f>
        <v>-</v>
      </c>
      <c r="N6" s="116">
        <f>[1]Summary!$L$7</f>
        <v>0</v>
      </c>
      <c r="O6" s="116">
        <f>[1]Summary!$M$7</f>
        <v>0</v>
      </c>
      <c r="P6" s="141" t="str">
        <f>[1]Summary!$N$7</f>
        <v>-</v>
      </c>
      <c r="Q6" s="257">
        <f>G6+I6+K6</f>
        <v>22</v>
      </c>
      <c r="R6" s="260">
        <f>H6+J6+L6</f>
        <v>15</v>
      </c>
      <c r="S6" s="146"/>
      <c r="T6" s="155">
        <v>30</v>
      </c>
      <c r="U6" s="115">
        <v>26</v>
      </c>
      <c r="V6" s="116" t="str">
        <f>[1]Summary!$Q$7</f>
        <v>-</v>
      </c>
      <c r="W6" s="141" t="str">
        <f>[1]Summary!$R$7</f>
        <v>-</v>
      </c>
      <c r="X6" s="146"/>
      <c r="Y6" s="155">
        <v>20</v>
      </c>
      <c r="Z6" s="115">
        <v>10</v>
      </c>
      <c r="AA6" s="116" t="str">
        <f>[1]Summary!$U$7</f>
        <v>-</v>
      </c>
      <c r="AB6" s="141" t="str">
        <f>[1]Summary!$V$7</f>
        <v>-</v>
      </c>
      <c r="AC6" s="147"/>
      <c r="AD6" s="205">
        <v>20</v>
      </c>
      <c r="AE6" s="115">
        <v>5</v>
      </c>
      <c r="AF6" s="116" t="str">
        <f>[1]Summary!$Y$7</f>
        <v>-</v>
      </c>
      <c r="AG6" s="206" t="str">
        <f>[1]Summary!$Z$7</f>
        <v>-</v>
      </c>
      <c r="AH6" s="174"/>
      <c r="AI6" s="143">
        <f>[1]Summary!$AA$7</f>
        <v>42138</v>
      </c>
      <c r="AJ6" s="114" t="str">
        <f>[1]Summary!$AB$7</f>
        <v>?</v>
      </c>
      <c r="AK6" s="114" t="str">
        <f>[1]Summary!$AC$7</f>
        <v>?</v>
      </c>
      <c r="AL6" s="114" t="str">
        <f>[1]Summary!$AD$7</f>
        <v>?</v>
      </c>
      <c r="AM6" s="117" t="str">
        <f>[1]Summary!$AE$7</f>
        <v xml:space="preserve">RTL:
POST:
FPGA: </v>
      </c>
    </row>
    <row r="7" spans="2:39" x14ac:dyDescent="0.3">
      <c r="B7" s="196">
        <v>2</v>
      </c>
      <c r="C7" s="196" t="str">
        <f>[2]Summary!$B$7</f>
        <v>HCT</v>
      </c>
      <c r="D7" s="196" t="str">
        <f>[2]Summary!$C$7</f>
        <v>이원규 선임</v>
      </c>
      <c r="E7" s="197" t="str">
        <f>[2]Summary!$D$7</f>
        <v>박재우 책임</v>
      </c>
      <c r="F7" s="146"/>
      <c r="G7" s="198">
        <v>15</v>
      </c>
      <c r="H7" s="198">
        <v>5</v>
      </c>
      <c r="I7" s="198">
        <v>12</v>
      </c>
      <c r="J7" s="198">
        <v>5</v>
      </c>
      <c r="K7" s="198">
        <f>[2]Summary!$I$7</f>
        <v>0</v>
      </c>
      <c r="L7" s="199">
        <f>[2]Summary!$J$7</f>
        <v>0</v>
      </c>
      <c r="M7" s="200" t="str">
        <f>[2]Summary!$K$7</f>
        <v>-</v>
      </c>
      <c r="N7" s="200">
        <f>[2]Summary!$L$7</f>
        <v>0</v>
      </c>
      <c r="O7" s="200">
        <f>[2]Summary!$M$7</f>
        <v>0</v>
      </c>
      <c r="P7" s="197" t="str">
        <f>[2]Summary!$N$7</f>
        <v>-</v>
      </c>
      <c r="Q7" s="258">
        <f t="shared" ref="Q7:R33" si="0">G7+I7+K7</f>
        <v>27</v>
      </c>
      <c r="R7" s="260">
        <f t="shared" si="0"/>
        <v>10</v>
      </c>
      <c r="S7" s="146"/>
      <c r="T7" s="198">
        <v>40</v>
      </c>
      <c r="U7" s="199">
        <v>25</v>
      </c>
      <c r="V7" s="200" t="str">
        <f>[2]Summary!$Q$7</f>
        <v>-</v>
      </c>
      <c r="W7" s="197" t="str">
        <f>[2]Summary!$R$7</f>
        <v>-</v>
      </c>
      <c r="X7" s="146"/>
      <c r="Y7" s="198">
        <v>30</v>
      </c>
      <c r="Z7" s="199">
        <v>20</v>
      </c>
      <c r="AA7" s="200" t="str">
        <f>[2]Summary!$U$7</f>
        <v>-</v>
      </c>
      <c r="AB7" s="197" t="str">
        <f>[2]Summary!$V$7</f>
        <v>-</v>
      </c>
      <c r="AC7" s="147"/>
      <c r="AD7" s="207">
        <v>30</v>
      </c>
      <c r="AE7" s="199">
        <v>2</v>
      </c>
      <c r="AF7" s="200" t="str">
        <f>[2]Summary!$Y$7</f>
        <v>-</v>
      </c>
      <c r="AG7" s="208" t="str">
        <f>[2]Summary!$Z$7</f>
        <v>-</v>
      </c>
      <c r="AH7" s="174"/>
      <c r="AI7" s="201">
        <f>[2]Summary!$AA$7</f>
        <v>42138</v>
      </c>
      <c r="AJ7" s="196" t="str">
        <f>[2]Summary!$AB$7</f>
        <v>?</v>
      </c>
      <c r="AK7" s="196" t="str">
        <f>[2]Summary!$AC$7</f>
        <v>?</v>
      </c>
      <c r="AL7" s="196" t="str">
        <f>[2]Summary!$AD$7</f>
        <v>?</v>
      </c>
      <c r="AM7" s="202" t="str">
        <f>[2]Summary!$AE$7</f>
        <v xml:space="preserve">RTL:
POST:
FPGA: </v>
      </c>
    </row>
    <row r="8" spans="2:39" x14ac:dyDescent="0.3">
      <c r="B8" s="114">
        <v>3</v>
      </c>
      <c r="C8" s="114" t="str">
        <f>[3]Summary!$B$7</f>
        <v>FCT</v>
      </c>
      <c r="D8" s="114" t="str">
        <f>[3]Summary!$C$7</f>
        <v>천동엽 책임</v>
      </c>
      <c r="E8" s="141" t="str">
        <f>[3]Summary!$D$7</f>
        <v>조성엽 책임</v>
      </c>
      <c r="F8" s="146"/>
      <c r="G8" s="155">
        <v>20</v>
      </c>
      <c r="H8" s="155">
        <v>18</v>
      </c>
      <c r="I8" s="155">
        <v>20</v>
      </c>
      <c r="J8" s="155">
        <v>15</v>
      </c>
      <c r="K8" s="155">
        <f>[3]Summary!$I$7</f>
        <v>0</v>
      </c>
      <c r="L8" s="115">
        <f>[3]Summary!$J$7</f>
        <v>0</v>
      </c>
      <c r="M8" s="116" t="str">
        <f>[3]Summary!$K$7</f>
        <v>-</v>
      </c>
      <c r="N8" s="116">
        <f>[3]Summary!$L$7</f>
        <v>0</v>
      </c>
      <c r="O8" s="116">
        <f>[3]Summary!$M$7</f>
        <v>0</v>
      </c>
      <c r="P8" s="141" t="str">
        <f>[3]Summary!$N$7</f>
        <v>-</v>
      </c>
      <c r="Q8" s="257">
        <f t="shared" si="0"/>
        <v>40</v>
      </c>
      <c r="R8" s="260">
        <f t="shared" si="0"/>
        <v>33</v>
      </c>
      <c r="S8" s="146"/>
      <c r="T8" s="155">
        <v>30</v>
      </c>
      <c r="U8" s="115">
        <v>30</v>
      </c>
      <c r="V8" s="116" t="str">
        <f>[3]Summary!$Q$7</f>
        <v>-</v>
      </c>
      <c r="W8" s="141" t="str">
        <f>[3]Summary!$R$7</f>
        <v>-</v>
      </c>
      <c r="X8" s="146"/>
      <c r="Y8" s="155">
        <v>30</v>
      </c>
      <c r="Z8" s="115">
        <v>25</v>
      </c>
      <c r="AA8" s="116" t="str">
        <f>[3]Summary!$U$7</f>
        <v>-</v>
      </c>
      <c r="AB8" s="141" t="str">
        <f>[3]Summary!$V$7</f>
        <v>-</v>
      </c>
      <c r="AC8" s="147"/>
      <c r="AD8" s="205">
        <v>30</v>
      </c>
      <c r="AE8" s="115">
        <v>3</v>
      </c>
      <c r="AF8" s="116" t="str">
        <f>[3]Summary!$Y$7</f>
        <v>-</v>
      </c>
      <c r="AG8" s="206" t="str">
        <f>[3]Summary!$Z$7</f>
        <v>-</v>
      </c>
      <c r="AH8" s="174"/>
      <c r="AI8" s="143">
        <f>[3]Summary!$AA$7</f>
        <v>42138</v>
      </c>
      <c r="AJ8" s="114" t="str">
        <f>[3]Summary!$AB$7</f>
        <v>?</v>
      </c>
      <c r="AK8" s="114" t="str">
        <f>[3]Summary!$AC$7</f>
        <v>?</v>
      </c>
      <c r="AL8" s="114" t="str">
        <f>[3]Summary!$AD$7</f>
        <v>?</v>
      </c>
      <c r="AM8" s="117" t="str">
        <f>[3]Summary!$AE$7</f>
        <v xml:space="preserve">RTL:
POST:
FPGA: </v>
      </c>
    </row>
    <row r="9" spans="2:39" x14ac:dyDescent="0.3">
      <c r="B9" s="196">
        <v>4</v>
      </c>
      <c r="C9" s="196" t="str">
        <f>[4]Summary!$B$7</f>
        <v>Buffer Manager</v>
      </c>
      <c r="D9" s="196" t="str">
        <f>[4]Summary!$C$7</f>
        <v>지대근 책임</v>
      </c>
      <c r="E9" s="197" t="str">
        <f>[4]Summary!$D$7</f>
        <v>조성엽 책임</v>
      </c>
      <c r="F9" s="146"/>
      <c r="G9" s="198">
        <v>15</v>
      </c>
      <c r="H9" s="198">
        <v>10</v>
      </c>
      <c r="I9" s="198">
        <v>30</v>
      </c>
      <c r="J9" s="198">
        <v>20</v>
      </c>
      <c r="K9" s="198">
        <f>[4]Summary!$I$7</f>
        <v>0</v>
      </c>
      <c r="L9" s="199">
        <f>[4]Summary!$J$7</f>
        <v>0</v>
      </c>
      <c r="M9" s="200" t="str">
        <f>[4]Summary!$K$7</f>
        <v>-</v>
      </c>
      <c r="N9" s="200">
        <f>[4]Summary!$L$7</f>
        <v>0</v>
      </c>
      <c r="O9" s="200">
        <f>[4]Summary!$M$7</f>
        <v>0</v>
      </c>
      <c r="P9" s="197" t="str">
        <f>[4]Summary!$N$7</f>
        <v>-</v>
      </c>
      <c r="Q9" s="258">
        <f t="shared" si="0"/>
        <v>45</v>
      </c>
      <c r="R9" s="260">
        <f t="shared" si="0"/>
        <v>30</v>
      </c>
      <c r="S9" s="146"/>
      <c r="T9" s="198">
        <v>20</v>
      </c>
      <c r="U9" s="199">
        <v>20</v>
      </c>
      <c r="V9" s="200" t="str">
        <f>[4]Summary!$Q$7</f>
        <v>-</v>
      </c>
      <c r="W9" s="197" t="str">
        <f>[4]Summary!$R$7</f>
        <v>-</v>
      </c>
      <c r="X9" s="146"/>
      <c r="Y9" s="198">
        <v>40</v>
      </c>
      <c r="Z9" s="199">
        <v>30</v>
      </c>
      <c r="AA9" s="200" t="str">
        <f>[4]Summary!$U$7</f>
        <v>-</v>
      </c>
      <c r="AB9" s="197" t="str">
        <f>[4]Summary!$V$7</f>
        <v>-</v>
      </c>
      <c r="AC9" s="147"/>
      <c r="AD9" s="207">
        <v>30</v>
      </c>
      <c r="AE9" s="199">
        <v>2</v>
      </c>
      <c r="AF9" s="200" t="str">
        <f>[4]Summary!$Y$7</f>
        <v>-</v>
      </c>
      <c r="AG9" s="208" t="str">
        <f>[4]Summary!$Z$7</f>
        <v>-</v>
      </c>
      <c r="AH9" s="174"/>
      <c r="AI9" s="201">
        <f>[4]Summary!$AA$7</f>
        <v>42138</v>
      </c>
      <c r="AJ9" s="196" t="str">
        <f>[4]Summary!$AB$7</f>
        <v>?</v>
      </c>
      <c r="AK9" s="196" t="str">
        <f>[4]Summary!$AC$7</f>
        <v>?</v>
      </c>
      <c r="AL9" s="196" t="str">
        <f>[4]Summary!$AD$7</f>
        <v>?</v>
      </c>
      <c r="AM9" s="202" t="str">
        <f>[4]Summary!$AE$7</f>
        <v xml:space="preserve">RTL:
POST:
FPGA: </v>
      </c>
    </row>
    <row r="10" spans="2:39" x14ac:dyDescent="0.3">
      <c r="B10" s="114">
        <v>5</v>
      </c>
      <c r="C10" s="114" t="str">
        <f>[5]Summary!$B$7</f>
        <v>Search Engine</v>
      </c>
      <c r="D10" s="114" t="str">
        <f>[5]Summary!$C$7</f>
        <v>김현욱 선임</v>
      </c>
      <c r="E10" s="141" t="str">
        <f>[5]Summary!$D$7</f>
        <v>김현욱 선임</v>
      </c>
      <c r="F10" s="146"/>
      <c r="G10" s="155">
        <v>20</v>
      </c>
      <c r="H10" s="155">
        <v>16</v>
      </c>
      <c r="I10" s="155">
        <v>15</v>
      </c>
      <c r="J10" s="155">
        <v>10</v>
      </c>
      <c r="K10" s="155">
        <f>[5]Summary!$I$7</f>
        <v>0</v>
      </c>
      <c r="L10" s="115">
        <f>[5]Summary!$J$7</f>
        <v>0</v>
      </c>
      <c r="M10" s="116" t="str">
        <f>[5]Summary!$K$7</f>
        <v>-</v>
      </c>
      <c r="N10" s="116">
        <f>[5]Summary!$L$7</f>
        <v>0</v>
      </c>
      <c r="O10" s="116">
        <f>[5]Summary!$M$7</f>
        <v>0</v>
      </c>
      <c r="P10" s="141" t="str">
        <f>[5]Summary!$N$7</f>
        <v>-</v>
      </c>
      <c r="Q10" s="257">
        <f t="shared" si="0"/>
        <v>35</v>
      </c>
      <c r="R10" s="260">
        <f t="shared" si="0"/>
        <v>26</v>
      </c>
      <c r="S10" s="146"/>
      <c r="T10" s="155">
        <v>20</v>
      </c>
      <c r="U10" s="115">
        <v>20</v>
      </c>
      <c r="V10" s="116" t="str">
        <f>[5]Summary!$Q$7</f>
        <v>-</v>
      </c>
      <c r="W10" s="141" t="str">
        <f>[5]Summary!$R$7</f>
        <v>-</v>
      </c>
      <c r="X10" s="146"/>
      <c r="Y10" s="155">
        <v>20</v>
      </c>
      <c r="Z10" s="115">
        <v>15</v>
      </c>
      <c r="AA10" s="116" t="str">
        <f>[5]Summary!$U$7</f>
        <v>-</v>
      </c>
      <c r="AB10" s="141" t="str">
        <f>[5]Summary!$V$7</f>
        <v>-</v>
      </c>
      <c r="AC10" s="147"/>
      <c r="AD10" s="205">
        <v>30</v>
      </c>
      <c r="AE10" s="115">
        <v>2</v>
      </c>
      <c r="AF10" s="116" t="str">
        <f>[5]Summary!$Y$7</f>
        <v>-</v>
      </c>
      <c r="AG10" s="206" t="str">
        <f>[5]Summary!$Z$7</f>
        <v>-</v>
      </c>
      <c r="AH10" s="174"/>
      <c r="AI10" s="143">
        <f>[5]Summary!$AA$7</f>
        <v>42138</v>
      </c>
      <c r="AJ10" s="114" t="str">
        <f>[5]Summary!$AB$7</f>
        <v>?</v>
      </c>
      <c r="AK10" s="114" t="str">
        <f>[5]Summary!$AC$7</f>
        <v>?</v>
      </c>
      <c r="AL10" s="114" t="str">
        <f>[5]Summary!$AD$7</f>
        <v>?</v>
      </c>
      <c r="AM10" s="117" t="str">
        <f>[5]Summary!$AE$7</f>
        <v xml:space="preserve">RTL:
POST:
FPGA: </v>
      </c>
    </row>
    <row r="11" spans="2:39" x14ac:dyDescent="0.3">
      <c r="B11" s="196">
        <v>6</v>
      </c>
      <c r="C11" s="196" t="str">
        <f>[6]Summary!$B$7</f>
        <v>MTSE</v>
      </c>
      <c r="D11" s="196" t="str">
        <f>[6]Summary!$C$7</f>
        <v>김현욱 선임</v>
      </c>
      <c r="E11" s="197" t="str">
        <f>[6]Summary!$D$7</f>
        <v>김현욱 선임</v>
      </c>
      <c r="F11" s="146"/>
      <c r="G11" s="198">
        <v>15</v>
      </c>
      <c r="H11" s="198">
        <v>14</v>
      </c>
      <c r="I11" s="198">
        <v>20</v>
      </c>
      <c r="J11" s="198">
        <v>15</v>
      </c>
      <c r="K11" s="198">
        <f>[6]Summary!$I$7</f>
        <v>0</v>
      </c>
      <c r="L11" s="199">
        <f>[6]Summary!$J$7</f>
        <v>0</v>
      </c>
      <c r="M11" s="200" t="str">
        <f>[6]Summary!$K$7</f>
        <v>-</v>
      </c>
      <c r="N11" s="200">
        <f>[6]Summary!$L$7</f>
        <v>0</v>
      </c>
      <c r="O11" s="200">
        <f>[6]Summary!$M$7</f>
        <v>0</v>
      </c>
      <c r="P11" s="197" t="str">
        <f>[6]Summary!$N$7</f>
        <v>-</v>
      </c>
      <c r="Q11" s="258">
        <f t="shared" si="0"/>
        <v>35</v>
      </c>
      <c r="R11" s="260">
        <f t="shared" si="0"/>
        <v>29</v>
      </c>
      <c r="S11" s="146"/>
      <c r="T11" s="198">
        <v>30</v>
      </c>
      <c r="U11" s="199">
        <v>25</v>
      </c>
      <c r="V11" s="200" t="str">
        <f>[6]Summary!$Q$7</f>
        <v>-</v>
      </c>
      <c r="W11" s="197" t="str">
        <f>[6]Summary!$R$7</f>
        <v>-</v>
      </c>
      <c r="X11" s="146"/>
      <c r="Y11" s="198">
        <v>20</v>
      </c>
      <c r="Z11" s="199">
        <v>15</v>
      </c>
      <c r="AA11" s="200" t="str">
        <f>[6]Summary!$U$7</f>
        <v>-</v>
      </c>
      <c r="AB11" s="197" t="str">
        <f>[6]Summary!$V$7</f>
        <v>-</v>
      </c>
      <c r="AC11" s="147"/>
      <c r="AD11" s="207">
        <v>30</v>
      </c>
      <c r="AE11" s="199">
        <v>4</v>
      </c>
      <c r="AF11" s="200" t="str">
        <f>[6]Summary!$Y$7</f>
        <v>-</v>
      </c>
      <c r="AG11" s="208" t="str">
        <f>[6]Summary!$Z$7</f>
        <v>-</v>
      </c>
      <c r="AH11" s="174"/>
      <c r="AI11" s="201">
        <f>[6]Summary!$AA$7</f>
        <v>42138</v>
      </c>
      <c r="AJ11" s="196" t="str">
        <f>[6]Summary!$AB$7</f>
        <v>?</v>
      </c>
      <c r="AK11" s="196" t="str">
        <f>[6]Summary!$AC$7</f>
        <v>?</v>
      </c>
      <c r="AL11" s="196" t="str">
        <f>[6]Summary!$AD$7</f>
        <v>?</v>
      </c>
      <c r="AM11" s="202" t="str">
        <f>[6]Summary!$AE$7</f>
        <v xml:space="preserve">RTL:
POST:
FPGA: </v>
      </c>
    </row>
    <row r="12" spans="2:39" x14ac:dyDescent="0.3">
      <c r="B12" s="114">
        <v>7</v>
      </c>
      <c r="C12" s="114" t="str">
        <f>[7]Summary!$B$7</f>
        <v>System Memory</v>
      </c>
      <c r="D12" s="114" t="str">
        <f>[7]Summary!$C$7</f>
        <v>김현욱 선임</v>
      </c>
      <c r="E12" s="141" t="str">
        <f>[7]Summary!$D$7</f>
        <v>김현욱 선임</v>
      </c>
      <c r="F12" s="146"/>
      <c r="G12" s="155">
        <v>10</v>
      </c>
      <c r="H12" s="155">
        <v>8</v>
      </c>
      <c r="I12" s="155">
        <v>15</v>
      </c>
      <c r="J12" s="155">
        <v>12</v>
      </c>
      <c r="K12" s="155">
        <f>[7]Summary!$I$7</f>
        <v>0</v>
      </c>
      <c r="L12" s="115">
        <f>[7]Summary!$J$7</f>
        <v>0</v>
      </c>
      <c r="M12" s="116" t="str">
        <f>[7]Summary!$K$7</f>
        <v>-</v>
      </c>
      <c r="N12" s="116">
        <f>[7]Summary!$L$7</f>
        <v>0</v>
      </c>
      <c r="O12" s="116">
        <f>[7]Summary!$M$7</f>
        <v>0</v>
      </c>
      <c r="P12" s="141" t="str">
        <f>[7]Summary!$N$7</f>
        <v>-</v>
      </c>
      <c r="Q12" s="257">
        <f t="shared" si="0"/>
        <v>25</v>
      </c>
      <c r="R12" s="260">
        <f t="shared" si="0"/>
        <v>20</v>
      </c>
      <c r="S12" s="146"/>
      <c r="T12" s="155">
        <v>30</v>
      </c>
      <c r="U12" s="115">
        <v>20</v>
      </c>
      <c r="V12" s="116" t="str">
        <f>[7]Summary!$Q$7</f>
        <v>-</v>
      </c>
      <c r="W12" s="141" t="str">
        <f>[7]Summary!$R$7</f>
        <v>-</v>
      </c>
      <c r="X12" s="146"/>
      <c r="Y12" s="155">
        <v>20</v>
      </c>
      <c r="Z12" s="115">
        <v>20</v>
      </c>
      <c r="AA12" s="116" t="str">
        <f>[7]Summary!$U$7</f>
        <v>-</v>
      </c>
      <c r="AB12" s="141" t="str">
        <f>[7]Summary!$V$7</f>
        <v>-</v>
      </c>
      <c r="AC12" s="147"/>
      <c r="AD12" s="205">
        <v>20</v>
      </c>
      <c r="AE12" s="115">
        <v>3</v>
      </c>
      <c r="AF12" s="116" t="str">
        <f>[7]Summary!$Y$7</f>
        <v>-</v>
      </c>
      <c r="AG12" s="206" t="str">
        <f>[7]Summary!$Z$7</f>
        <v>-</v>
      </c>
      <c r="AH12" s="174"/>
      <c r="AI12" s="143">
        <f>[7]Summary!$AA$7</f>
        <v>42138</v>
      </c>
      <c r="AJ12" s="114" t="str">
        <f>[7]Summary!$AB$7</f>
        <v>?</v>
      </c>
      <c r="AK12" s="114" t="str">
        <f>[7]Summary!$AC$7</f>
        <v>?</v>
      </c>
      <c r="AL12" s="114" t="str">
        <f>[7]Summary!$AD$7</f>
        <v>?</v>
      </c>
      <c r="AM12" s="117" t="str">
        <f>[7]Summary!$AE$7</f>
        <v xml:space="preserve">RTL:
POST:
FPGA: </v>
      </c>
    </row>
    <row r="13" spans="2:39" x14ac:dyDescent="0.3">
      <c r="B13" s="196">
        <v>8</v>
      </c>
      <c r="C13" s="196" t="str">
        <f>[8]Summary!$B$7</f>
        <v>Data Buffer</v>
      </c>
      <c r="D13" s="196" t="str">
        <f>[8]Summary!$C$7</f>
        <v>김현욱 선임</v>
      </c>
      <c r="E13" s="197" t="str">
        <f>[8]Summary!$D$7</f>
        <v>김현욱 선임</v>
      </c>
      <c r="F13" s="146"/>
      <c r="G13" s="198">
        <v>8</v>
      </c>
      <c r="H13" s="198">
        <v>8</v>
      </c>
      <c r="I13" s="198">
        <v>18</v>
      </c>
      <c r="J13" s="198">
        <v>15</v>
      </c>
      <c r="K13" s="198">
        <f>[8]Summary!$I$7</f>
        <v>0</v>
      </c>
      <c r="L13" s="199">
        <f>[8]Summary!$J$7</f>
        <v>0</v>
      </c>
      <c r="M13" s="200" t="str">
        <f>[8]Summary!$K$7</f>
        <v>-</v>
      </c>
      <c r="N13" s="200">
        <f>[8]Summary!$L$7</f>
        <v>0</v>
      </c>
      <c r="O13" s="200">
        <f>[8]Summary!$M$7</f>
        <v>0</v>
      </c>
      <c r="P13" s="197" t="str">
        <f>[8]Summary!$N$7</f>
        <v>-</v>
      </c>
      <c r="Q13" s="258">
        <f t="shared" si="0"/>
        <v>26</v>
      </c>
      <c r="R13" s="260">
        <f t="shared" si="0"/>
        <v>23</v>
      </c>
      <c r="S13" s="146"/>
      <c r="T13" s="198">
        <v>40</v>
      </c>
      <c r="U13" s="199">
        <v>35</v>
      </c>
      <c r="V13" s="200" t="str">
        <f>[8]Summary!$Q$7</f>
        <v>-</v>
      </c>
      <c r="W13" s="197" t="str">
        <f>[8]Summary!$R$7</f>
        <v>-</v>
      </c>
      <c r="X13" s="146"/>
      <c r="Y13" s="198">
        <v>20</v>
      </c>
      <c r="Z13" s="199">
        <v>18</v>
      </c>
      <c r="AA13" s="200" t="str">
        <f>[8]Summary!$U$7</f>
        <v>-</v>
      </c>
      <c r="AB13" s="197" t="str">
        <f>[8]Summary!$V$7</f>
        <v>-</v>
      </c>
      <c r="AC13" s="147"/>
      <c r="AD13" s="207">
        <v>20</v>
      </c>
      <c r="AE13" s="199">
        <v>4</v>
      </c>
      <c r="AF13" s="200" t="str">
        <f>[8]Summary!$Y$7</f>
        <v>-</v>
      </c>
      <c r="AG13" s="208" t="str">
        <f>[8]Summary!$Z$7</f>
        <v>-</v>
      </c>
      <c r="AH13" s="174"/>
      <c r="AI13" s="201">
        <f>[8]Summary!$AA$7</f>
        <v>42138</v>
      </c>
      <c r="AJ13" s="196" t="str">
        <f>[8]Summary!$AB$7</f>
        <v>?</v>
      </c>
      <c r="AK13" s="196" t="str">
        <f>[8]Summary!$AC$7</f>
        <v>?</v>
      </c>
      <c r="AL13" s="196" t="str">
        <f>[8]Summary!$AD$7</f>
        <v>?</v>
      </c>
      <c r="AM13" s="202" t="str">
        <f>[8]Summary!$AE$7</f>
        <v xml:space="preserve">RTL:
POST:
FPGA: </v>
      </c>
    </row>
    <row r="14" spans="2:39" x14ac:dyDescent="0.3">
      <c r="B14" s="114">
        <v>9</v>
      </c>
      <c r="C14" s="114" t="str">
        <f>[9]Summary!$B$7</f>
        <v>DMA</v>
      </c>
      <c r="D14" s="114" t="str">
        <f>[9]Summary!$C$7</f>
        <v>김현욱 선임</v>
      </c>
      <c r="E14" s="141" t="str">
        <f>[9]Summary!$D$7</f>
        <v>김현욱 선임</v>
      </c>
      <c r="F14" s="146"/>
      <c r="G14" s="155">
        <v>9</v>
      </c>
      <c r="H14" s="155">
        <v>8</v>
      </c>
      <c r="I14" s="155">
        <v>30</v>
      </c>
      <c r="J14" s="155">
        <v>20</v>
      </c>
      <c r="K14" s="155">
        <f>[9]Summary!$I$7</f>
        <v>0</v>
      </c>
      <c r="L14" s="115">
        <f>[9]Summary!$J$7</f>
        <v>0</v>
      </c>
      <c r="M14" s="116" t="str">
        <f>[9]Summary!$K$7</f>
        <v>-</v>
      </c>
      <c r="N14" s="116">
        <f>[9]Summary!$L$7</f>
        <v>0</v>
      </c>
      <c r="O14" s="116">
        <f>[9]Summary!$M$7</f>
        <v>0</v>
      </c>
      <c r="P14" s="141" t="str">
        <f>[9]Summary!$N$7</f>
        <v>-</v>
      </c>
      <c r="Q14" s="257">
        <f t="shared" si="0"/>
        <v>39</v>
      </c>
      <c r="R14" s="260">
        <f t="shared" si="0"/>
        <v>28</v>
      </c>
      <c r="S14" s="146"/>
      <c r="T14" s="155">
        <v>50</v>
      </c>
      <c r="U14" s="115">
        <v>40</v>
      </c>
      <c r="V14" s="116" t="str">
        <f>[9]Summary!$Q$7</f>
        <v>-</v>
      </c>
      <c r="W14" s="141" t="str">
        <f>[9]Summary!$R$7</f>
        <v>-</v>
      </c>
      <c r="X14" s="146"/>
      <c r="Y14" s="155">
        <v>20</v>
      </c>
      <c r="Z14" s="115">
        <v>20</v>
      </c>
      <c r="AA14" s="116" t="str">
        <f>[9]Summary!$U$7</f>
        <v>-</v>
      </c>
      <c r="AB14" s="141" t="str">
        <f>[9]Summary!$V$7</f>
        <v>-</v>
      </c>
      <c r="AC14" s="147"/>
      <c r="AD14" s="205">
        <v>20</v>
      </c>
      <c r="AE14" s="115">
        <v>2</v>
      </c>
      <c r="AF14" s="116" t="str">
        <f>[9]Summary!$Y$7</f>
        <v>-</v>
      </c>
      <c r="AG14" s="206" t="str">
        <f>[9]Summary!$Z$7</f>
        <v>-</v>
      </c>
      <c r="AH14" s="174"/>
      <c r="AI14" s="143">
        <f>[9]Summary!$AA$7</f>
        <v>42138</v>
      </c>
      <c r="AJ14" s="114" t="str">
        <f>[9]Summary!$AB$7</f>
        <v>?</v>
      </c>
      <c r="AK14" s="114" t="str">
        <f>[9]Summary!$AC$7</f>
        <v>?</v>
      </c>
      <c r="AL14" s="114" t="str">
        <f>[9]Summary!$AD$7</f>
        <v>?</v>
      </c>
      <c r="AM14" s="117" t="str">
        <f>[9]Summary!$AE$7</f>
        <v xml:space="preserve">RTL:
POST:
FPGA: </v>
      </c>
    </row>
    <row r="15" spans="2:39" x14ac:dyDescent="0.3">
      <c r="B15" s="196">
        <v>10</v>
      </c>
      <c r="C15" s="196" t="str">
        <f>[10]Summary!$B$7</f>
        <v>Back Bone</v>
      </c>
      <c r="D15" s="196" t="str">
        <f>[10]Summary!$C$7</f>
        <v>최호윤 수석</v>
      </c>
      <c r="E15" s="197" t="str">
        <f>[10]Summary!$D$7</f>
        <v>최호윤 수석</v>
      </c>
      <c r="F15" s="146"/>
      <c r="G15" s="198">
        <v>30</v>
      </c>
      <c r="H15" s="198">
        <v>10</v>
      </c>
      <c r="I15" s="198">
        <v>30</v>
      </c>
      <c r="J15" s="198">
        <v>25</v>
      </c>
      <c r="K15" s="198">
        <f>[10]Summary!$I$7</f>
        <v>0</v>
      </c>
      <c r="L15" s="199">
        <f>[10]Summary!$J$7</f>
        <v>0</v>
      </c>
      <c r="M15" s="200" t="str">
        <f>[10]Summary!$K$7</f>
        <v>-</v>
      </c>
      <c r="N15" s="200">
        <f>[10]Summary!$L$7</f>
        <v>0</v>
      </c>
      <c r="O15" s="200">
        <f>[10]Summary!$M$7</f>
        <v>0</v>
      </c>
      <c r="P15" s="197" t="str">
        <f>[10]Summary!$N$7</f>
        <v>-</v>
      </c>
      <c r="Q15" s="258">
        <f t="shared" si="0"/>
        <v>60</v>
      </c>
      <c r="R15" s="260">
        <f t="shared" si="0"/>
        <v>35</v>
      </c>
      <c r="S15" s="146"/>
      <c r="T15" s="198">
        <v>20</v>
      </c>
      <c r="U15" s="199">
        <v>20</v>
      </c>
      <c r="V15" s="200" t="str">
        <f>[10]Summary!$Q$7</f>
        <v>-</v>
      </c>
      <c r="W15" s="197" t="str">
        <f>[10]Summary!$R$7</f>
        <v>-</v>
      </c>
      <c r="X15" s="146"/>
      <c r="Y15" s="198">
        <v>20</v>
      </c>
      <c r="Z15" s="199">
        <v>15</v>
      </c>
      <c r="AA15" s="200" t="str">
        <f>[10]Summary!$U$7</f>
        <v>-</v>
      </c>
      <c r="AB15" s="197" t="str">
        <f>[10]Summary!$V$7</f>
        <v>-</v>
      </c>
      <c r="AC15" s="147"/>
      <c r="AD15" s="207">
        <v>20</v>
      </c>
      <c r="AE15" s="199">
        <v>5</v>
      </c>
      <c r="AF15" s="200" t="str">
        <f>[10]Summary!$Y$7</f>
        <v>-</v>
      </c>
      <c r="AG15" s="208" t="str">
        <f>[10]Summary!$Z$7</f>
        <v>-</v>
      </c>
      <c r="AH15" s="174"/>
      <c r="AI15" s="201">
        <f>[10]Summary!$AA$7</f>
        <v>42138</v>
      </c>
      <c r="AJ15" s="196" t="str">
        <f>[10]Summary!$AB$7</f>
        <v>?</v>
      </c>
      <c r="AK15" s="196" t="str">
        <f>[10]Summary!$AC$7</f>
        <v>?</v>
      </c>
      <c r="AL15" s="196" t="str">
        <f>[10]Summary!$AD$7</f>
        <v>?</v>
      </c>
      <c r="AM15" s="202" t="str">
        <f>[10]Summary!$AE$7</f>
        <v xml:space="preserve">RTL:
POST:
FPGA: </v>
      </c>
    </row>
    <row r="16" spans="2:39" x14ac:dyDescent="0.3">
      <c r="B16" s="114">
        <v>11</v>
      </c>
      <c r="C16" s="114" t="str">
        <f>[11]Summary!$B$7</f>
        <v>System Controller</v>
      </c>
      <c r="D16" s="114" t="str">
        <f>[11]Summary!$C$7</f>
        <v>김정욱 책임</v>
      </c>
      <c r="E16" s="141" t="str">
        <f>[11]Summary!$D$7</f>
        <v>김정욱 책임</v>
      </c>
      <c r="F16" s="146"/>
      <c r="G16" s="155">
        <v>20</v>
      </c>
      <c r="H16" s="155">
        <v>18</v>
      </c>
      <c r="I16" s="155">
        <v>30</v>
      </c>
      <c r="J16" s="155">
        <v>22</v>
      </c>
      <c r="K16" s="155">
        <f>[11]Summary!$I$7</f>
        <v>0</v>
      </c>
      <c r="L16" s="115">
        <f>[11]Summary!$J$7</f>
        <v>0</v>
      </c>
      <c r="M16" s="116" t="str">
        <f>[11]Summary!$K$7</f>
        <v>-</v>
      </c>
      <c r="N16" s="116">
        <f>[11]Summary!$L$7</f>
        <v>0</v>
      </c>
      <c r="O16" s="116">
        <f>[11]Summary!$M$7</f>
        <v>0</v>
      </c>
      <c r="P16" s="141" t="str">
        <f>[11]Summary!$N$7</f>
        <v>-</v>
      </c>
      <c r="Q16" s="257">
        <f t="shared" si="0"/>
        <v>50</v>
      </c>
      <c r="R16" s="260">
        <f t="shared" si="0"/>
        <v>40</v>
      </c>
      <c r="S16" s="146"/>
      <c r="T16" s="155">
        <v>30</v>
      </c>
      <c r="U16" s="115">
        <v>15</v>
      </c>
      <c r="V16" s="116" t="str">
        <f>[11]Summary!$Q$7</f>
        <v>-</v>
      </c>
      <c r="W16" s="141" t="str">
        <f>[11]Summary!$R$7</f>
        <v>-</v>
      </c>
      <c r="X16" s="146"/>
      <c r="Y16" s="155">
        <v>35</v>
      </c>
      <c r="Z16" s="115">
        <v>30</v>
      </c>
      <c r="AA16" s="116" t="str">
        <f>[11]Summary!$U$7</f>
        <v>-</v>
      </c>
      <c r="AB16" s="141" t="str">
        <f>[11]Summary!$V$7</f>
        <v>-</v>
      </c>
      <c r="AC16" s="147"/>
      <c r="AD16" s="205">
        <v>15</v>
      </c>
      <c r="AE16" s="115">
        <v>2</v>
      </c>
      <c r="AF16" s="116" t="str">
        <f>[11]Summary!$Y$7</f>
        <v>-</v>
      </c>
      <c r="AG16" s="206" t="str">
        <f>[11]Summary!$Z$7</f>
        <v>-</v>
      </c>
      <c r="AH16" s="174"/>
      <c r="AI16" s="143">
        <f>[11]Summary!$AA$7</f>
        <v>42138</v>
      </c>
      <c r="AJ16" s="114" t="str">
        <f>[11]Summary!$AB$7</f>
        <v>?</v>
      </c>
      <c r="AK16" s="114" t="str">
        <f>[11]Summary!$AC$7</f>
        <v>?</v>
      </c>
      <c r="AL16" s="114" t="str">
        <f>[11]Summary!$AD$7</f>
        <v>?</v>
      </c>
      <c r="AM16" s="117" t="str">
        <f>[11]Summary!$AE$7</f>
        <v xml:space="preserve">RTL:
POST:
FPGA: </v>
      </c>
    </row>
    <row r="17" spans="2:39" x14ac:dyDescent="0.3">
      <c r="B17" s="196">
        <v>12</v>
      </c>
      <c r="C17" s="196" t="str">
        <f>[12]Summary!$B$7</f>
        <v>PMU</v>
      </c>
      <c r="D17" s="196" t="str">
        <f>[12]Summary!$C$7</f>
        <v>김정욱 책임</v>
      </c>
      <c r="E17" s="197" t="str">
        <f>[12]Summary!$D$7</f>
        <v>김정욱 책임</v>
      </c>
      <c r="F17" s="146"/>
      <c r="G17" s="198">
        <v>15</v>
      </c>
      <c r="H17" s="198">
        <v>14</v>
      </c>
      <c r="I17" s="198">
        <v>30</v>
      </c>
      <c r="J17" s="198">
        <v>25</v>
      </c>
      <c r="K17" s="198">
        <f>[12]Summary!$I$7</f>
        <v>0</v>
      </c>
      <c r="L17" s="199">
        <f>[12]Summary!$J$7</f>
        <v>0</v>
      </c>
      <c r="M17" s="200" t="str">
        <f>[12]Summary!$K$7</f>
        <v>-</v>
      </c>
      <c r="N17" s="200">
        <f>[12]Summary!$L$7</f>
        <v>0</v>
      </c>
      <c r="O17" s="200">
        <f>[12]Summary!$M$7</f>
        <v>0</v>
      </c>
      <c r="P17" s="197" t="str">
        <f>[12]Summary!$N$7</f>
        <v>-</v>
      </c>
      <c r="Q17" s="258">
        <f t="shared" si="0"/>
        <v>45</v>
      </c>
      <c r="R17" s="260">
        <f t="shared" si="0"/>
        <v>39</v>
      </c>
      <c r="S17" s="146"/>
      <c r="T17" s="198">
        <v>30</v>
      </c>
      <c r="U17" s="199">
        <v>15</v>
      </c>
      <c r="V17" s="200" t="str">
        <f>[12]Summary!$Q$7</f>
        <v>-</v>
      </c>
      <c r="W17" s="197" t="str">
        <f>[12]Summary!$R$7</f>
        <v>-</v>
      </c>
      <c r="X17" s="146"/>
      <c r="Y17" s="198">
        <v>30</v>
      </c>
      <c r="Z17" s="199">
        <v>25</v>
      </c>
      <c r="AA17" s="200" t="str">
        <f>[12]Summary!$U$7</f>
        <v>-</v>
      </c>
      <c r="AB17" s="197" t="str">
        <f>[12]Summary!$V$7</f>
        <v>-</v>
      </c>
      <c r="AC17" s="147"/>
      <c r="AD17" s="207">
        <v>20</v>
      </c>
      <c r="AE17" s="199">
        <v>5</v>
      </c>
      <c r="AF17" s="200" t="str">
        <f>[12]Summary!$Y$7</f>
        <v>-</v>
      </c>
      <c r="AG17" s="208" t="str">
        <f>[12]Summary!$Z$7</f>
        <v>-</v>
      </c>
      <c r="AH17" s="174"/>
      <c r="AI17" s="201">
        <f>[12]Summary!$AA$7</f>
        <v>42138</v>
      </c>
      <c r="AJ17" s="196" t="str">
        <f>[12]Summary!$AB$7</f>
        <v>?</v>
      </c>
      <c r="AK17" s="196" t="str">
        <f>[12]Summary!$AC$7</f>
        <v>?</v>
      </c>
      <c r="AL17" s="196" t="str">
        <f>[12]Summary!$AD$7</f>
        <v>?</v>
      </c>
      <c r="AM17" s="202" t="str">
        <f>[12]Summary!$AE$7</f>
        <v xml:space="preserve">RTL:
POST:
FPGA: </v>
      </c>
    </row>
    <row r="18" spans="2:39" x14ac:dyDescent="0.3">
      <c r="B18" s="114">
        <v>13</v>
      </c>
      <c r="C18" s="114" t="str">
        <f>[13]Summary!$B$7</f>
        <v>RPMB</v>
      </c>
      <c r="D18" s="114" t="str">
        <f>[13]Summary!$C$7</f>
        <v>안병욱 선임</v>
      </c>
      <c r="E18" s="141" t="str">
        <f>[13]Summary!$D$7</f>
        <v>안병욱 선임</v>
      </c>
      <c r="F18" s="146"/>
      <c r="G18" s="155">
        <v>20</v>
      </c>
      <c r="H18" s="155">
        <v>18</v>
      </c>
      <c r="I18" s="155">
        <v>35</v>
      </c>
      <c r="J18" s="155">
        <v>23</v>
      </c>
      <c r="K18" s="155">
        <f>[13]Summary!$I$7</f>
        <v>0</v>
      </c>
      <c r="L18" s="115">
        <f>[13]Summary!$J$7</f>
        <v>0</v>
      </c>
      <c r="M18" s="116" t="str">
        <f>[13]Summary!$K$7</f>
        <v>-</v>
      </c>
      <c r="N18" s="116">
        <f>[13]Summary!$L$7</f>
        <v>0</v>
      </c>
      <c r="O18" s="116">
        <f>[13]Summary!$M$7</f>
        <v>0</v>
      </c>
      <c r="P18" s="141" t="str">
        <f>[13]Summary!$N$7</f>
        <v>-</v>
      </c>
      <c r="Q18" s="257">
        <f t="shared" si="0"/>
        <v>55</v>
      </c>
      <c r="R18" s="260">
        <f t="shared" si="0"/>
        <v>41</v>
      </c>
      <c r="S18" s="146"/>
      <c r="T18" s="155">
        <v>20</v>
      </c>
      <c r="U18" s="115">
        <v>20</v>
      </c>
      <c r="V18" s="116" t="str">
        <f>[13]Summary!$Q$7</f>
        <v>-</v>
      </c>
      <c r="W18" s="141" t="str">
        <f>[13]Summary!$R$7</f>
        <v>-</v>
      </c>
      <c r="X18" s="146"/>
      <c r="Y18" s="155">
        <v>30</v>
      </c>
      <c r="Z18" s="115">
        <v>25</v>
      </c>
      <c r="AA18" s="116" t="str">
        <f>[13]Summary!$U$7</f>
        <v>-</v>
      </c>
      <c r="AB18" s="141" t="str">
        <f>[13]Summary!$V$7</f>
        <v>-</v>
      </c>
      <c r="AC18" s="147"/>
      <c r="AD18" s="205">
        <v>25</v>
      </c>
      <c r="AE18" s="115">
        <v>2</v>
      </c>
      <c r="AF18" s="116" t="str">
        <f>[13]Summary!$Y$7</f>
        <v>-</v>
      </c>
      <c r="AG18" s="206" t="str">
        <f>[13]Summary!$Z$7</f>
        <v>-</v>
      </c>
      <c r="AH18" s="174"/>
      <c r="AI18" s="143">
        <f>[13]Summary!$AA$7</f>
        <v>42138</v>
      </c>
      <c r="AJ18" s="114" t="str">
        <f>[13]Summary!$AB$7</f>
        <v>?</v>
      </c>
      <c r="AK18" s="114" t="str">
        <f>[13]Summary!$AC$7</f>
        <v>?</v>
      </c>
      <c r="AL18" s="114" t="str">
        <f>[13]Summary!$AD$7</f>
        <v>?</v>
      </c>
      <c r="AM18" s="117" t="str">
        <f>[13]Summary!$AE$7</f>
        <v xml:space="preserve">RTL:
POST:
FPGA: </v>
      </c>
    </row>
    <row r="19" spans="2:39" x14ac:dyDescent="0.3">
      <c r="B19" s="196">
        <v>14</v>
      </c>
      <c r="C19" s="196" t="str">
        <f>[14]Summary!$B$7</f>
        <v>Mail Box</v>
      </c>
      <c r="D19" s="196" t="str">
        <f>[14]Summary!$C$7</f>
        <v>안병욱 선임</v>
      </c>
      <c r="E19" s="197" t="str">
        <f>[14]Summary!$D$7</f>
        <v>안병욱 선임</v>
      </c>
      <c r="F19" s="146"/>
      <c r="G19" s="198">
        <v>30</v>
      </c>
      <c r="H19" s="198">
        <v>20</v>
      </c>
      <c r="I19" s="198">
        <v>20</v>
      </c>
      <c r="J19" s="198">
        <v>18</v>
      </c>
      <c r="K19" s="198">
        <f>[14]Summary!$I$7</f>
        <v>0</v>
      </c>
      <c r="L19" s="199">
        <f>[14]Summary!$J$7</f>
        <v>0</v>
      </c>
      <c r="M19" s="200" t="str">
        <f>[14]Summary!$K$7</f>
        <v>-</v>
      </c>
      <c r="N19" s="200">
        <f>[14]Summary!$L$7</f>
        <v>0</v>
      </c>
      <c r="O19" s="200">
        <f>[14]Summary!$M$7</f>
        <v>0</v>
      </c>
      <c r="P19" s="197" t="str">
        <f>[14]Summary!$N$7</f>
        <v>-</v>
      </c>
      <c r="Q19" s="258">
        <f t="shared" si="0"/>
        <v>50</v>
      </c>
      <c r="R19" s="260">
        <f t="shared" si="0"/>
        <v>38</v>
      </c>
      <c r="S19" s="146"/>
      <c r="T19" s="198">
        <v>35</v>
      </c>
      <c r="U19" s="199">
        <v>30</v>
      </c>
      <c r="V19" s="200" t="str">
        <f>[14]Summary!$Q$7</f>
        <v>-</v>
      </c>
      <c r="W19" s="197" t="str">
        <f>[14]Summary!$R$7</f>
        <v>-</v>
      </c>
      <c r="X19" s="146"/>
      <c r="Y19" s="198">
        <v>30</v>
      </c>
      <c r="Z19" s="199">
        <v>24</v>
      </c>
      <c r="AA19" s="200" t="str">
        <f>[14]Summary!$U$7</f>
        <v>-</v>
      </c>
      <c r="AB19" s="197" t="str">
        <f>[14]Summary!$V$7</f>
        <v>-</v>
      </c>
      <c r="AC19" s="147"/>
      <c r="AD19" s="207">
        <v>25</v>
      </c>
      <c r="AE19" s="199">
        <v>5</v>
      </c>
      <c r="AF19" s="200" t="str">
        <f>[14]Summary!$Y$7</f>
        <v>-</v>
      </c>
      <c r="AG19" s="208" t="str">
        <f>[14]Summary!$Z$7</f>
        <v>-</v>
      </c>
      <c r="AH19" s="174"/>
      <c r="AI19" s="201">
        <f>[14]Summary!$AA$7</f>
        <v>42138</v>
      </c>
      <c r="AJ19" s="196" t="str">
        <f>[14]Summary!$AB$7</f>
        <v>?</v>
      </c>
      <c r="AK19" s="196" t="str">
        <f>[14]Summary!$AC$7</f>
        <v>?</v>
      </c>
      <c r="AL19" s="196" t="str">
        <f>[14]Summary!$AD$7</f>
        <v>?</v>
      </c>
      <c r="AM19" s="202" t="str">
        <f>[14]Summary!$AE$7</f>
        <v xml:space="preserve">RTL:
POST:
FPGA: </v>
      </c>
    </row>
    <row r="20" spans="2:39" x14ac:dyDescent="0.3">
      <c r="B20" s="114">
        <v>15</v>
      </c>
      <c r="C20" s="114" t="str">
        <f>[15]Summary!$B$7</f>
        <v>Timer</v>
      </c>
      <c r="D20" s="114" t="str">
        <f>[15]Summary!$C$7</f>
        <v>안병욱 선임</v>
      </c>
      <c r="E20" s="141" t="str">
        <f>[15]Summary!$D$7</f>
        <v>안병욱 선임</v>
      </c>
      <c r="F20" s="146"/>
      <c r="G20" s="155">
        <v>15</v>
      </c>
      <c r="H20" s="155">
        <v>10</v>
      </c>
      <c r="I20" s="155">
        <v>20</v>
      </c>
      <c r="J20" s="155">
        <v>15</v>
      </c>
      <c r="K20" s="155">
        <f>[15]Summary!$I$7</f>
        <v>0</v>
      </c>
      <c r="L20" s="115">
        <f>[15]Summary!$J$7</f>
        <v>0</v>
      </c>
      <c r="M20" s="116" t="str">
        <f>[15]Summary!$K$7</f>
        <v>-</v>
      </c>
      <c r="N20" s="116">
        <f>[15]Summary!$L$7</f>
        <v>0</v>
      </c>
      <c r="O20" s="116">
        <f>[15]Summary!$M$7</f>
        <v>0</v>
      </c>
      <c r="P20" s="141" t="str">
        <f>[15]Summary!$N$7</f>
        <v>-</v>
      </c>
      <c r="Q20" s="257">
        <f t="shared" si="0"/>
        <v>35</v>
      </c>
      <c r="R20" s="260">
        <f t="shared" si="0"/>
        <v>25</v>
      </c>
      <c r="S20" s="146"/>
      <c r="T20" s="155">
        <v>35</v>
      </c>
      <c r="U20" s="115">
        <v>30</v>
      </c>
      <c r="V20" s="116" t="str">
        <f>[15]Summary!$Q$7</f>
        <v>-</v>
      </c>
      <c r="W20" s="141" t="str">
        <f>[15]Summary!$R$7</f>
        <v>-</v>
      </c>
      <c r="X20" s="146"/>
      <c r="Y20" s="155">
        <v>30</v>
      </c>
      <c r="Z20" s="115">
        <v>28</v>
      </c>
      <c r="AA20" s="116" t="str">
        <f>[15]Summary!$U$7</f>
        <v>-</v>
      </c>
      <c r="AB20" s="141" t="str">
        <f>[15]Summary!$V$7</f>
        <v>-</v>
      </c>
      <c r="AC20" s="147"/>
      <c r="AD20" s="205">
        <v>25</v>
      </c>
      <c r="AE20" s="115">
        <v>10</v>
      </c>
      <c r="AF20" s="116" t="str">
        <f>[15]Summary!$Y$7</f>
        <v>-</v>
      </c>
      <c r="AG20" s="206" t="str">
        <f>[15]Summary!$Z$7</f>
        <v>-</v>
      </c>
      <c r="AH20" s="174"/>
      <c r="AI20" s="143">
        <f>[15]Summary!$AA$7</f>
        <v>42138</v>
      </c>
      <c r="AJ20" s="114" t="str">
        <f>[15]Summary!$AB$7</f>
        <v>?</v>
      </c>
      <c r="AK20" s="114" t="str">
        <f>[15]Summary!$AC$7</f>
        <v>?</v>
      </c>
      <c r="AL20" s="114" t="str">
        <f>[15]Summary!$AD$7</f>
        <v>?</v>
      </c>
      <c r="AM20" s="117" t="str">
        <f>[15]Summary!$AE$7</f>
        <v xml:space="preserve">RTL:
POST:
FPGA: </v>
      </c>
    </row>
    <row r="21" spans="2:39" x14ac:dyDescent="0.3">
      <c r="B21" s="196">
        <v>16</v>
      </c>
      <c r="C21" s="196" t="str">
        <f>[16]Summary!$B$7</f>
        <v>WDT</v>
      </c>
      <c r="D21" s="196" t="str">
        <f>[16]Summary!$C$7</f>
        <v>안병욱 선임</v>
      </c>
      <c r="E21" s="197" t="str">
        <f>[16]Summary!$D$7</f>
        <v>안병욱 선임</v>
      </c>
      <c r="F21" s="146"/>
      <c r="G21" s="198">
        <v>18</v>
      </c>
      <c r="H21" s="198">
        <v>10</v>
      </c>
      <c r="I21" s="198">
        <v>20</v>
      </c>
      <c r="J21" s="198">
        <v>16</v>
      </c>
      <c r="K21" s="198">
        <f>[16]Summary!$I$7</f>
        <v>0</v>
      </c>
      <c r="L21" s="199">
        <f>[16]Summary!$J$7</f>
        <v>0</v>
      </c>
      <c r="M21" s="200" t="str">
        <f>[16]Summary!$K$7</f>
        <v>-</v>
      </c>
      <c r="N21" s="200">
        <f>[16]Summary!$L$7</f>
        <v>0</v>
      </c>
      <c r="O21" s="200">
        <f>[16]Summary!$M$7</f>
        <v>0</v>
      </c>
      <c r="P21" s="197" t="str">
        <f>[16]Summary!$N$7</f>
        <v>-</v>
      </c>
      <c r="Q21" s="258">
        <f t="shared" si="0"/>
        <v>38</v>
      </c>
      <c r="R21" s="260">
        <f t="shared" si="0"/>
        <v>26</v>
      </c>
      <c r="S21" s="146"/>
      <c r="T21" s="198">
        <v>35</v>
      </c>
      <c r="U21" s="199">
        <v>30</v>
      </c>
      <c r="V21" s="200" t="str">
        <f>[16]Summary!$Q$7</f>
        <v>-</v>
      </c>
      <c r="W21" s="197" t="str">
        <f>[16]Summary!$R$7</f>
        <v>-</v>
      </c>
      <c r="X21" s="146"/>
      <c r="Y21" s="198">
        <v>40</v>
      </c>
      <c r="Z21" s="199">
        <v>32</v>
      </c>
      <c r="AA21" s="200" t="str">
        <f>[16]Summary!$U$7</f>
        <v>-</v>
      </c>
      <c r="AB21" s="197" t="str">
        <f>[16]Summary!$V$7</f>
        <v>-</v>
      </c>
      <c r="AC21" s="147"/>
      <c r="AD21" s="207">
        <v>20</v>
      </c>
      <c r="AE21" s="199">
        <v>2</v>
      </c>
      <c r="AF21" s="200" t="str">
        <f>[16]Summary!$Y$7</f>
        <v>-</v>
      </c>
      <c r="AG21" s="208" t="str">
        <f>[16]Summary!$Z$7</f>
        <v>-</v>
      </c>
      <c r="AH21" s="174"/>
      <c r="AI21" s="201">
        <f>[16]Summary!$AA$7</f>
        <v>42138</v>
      </c>
      <c r="AJ21" s="196" t="str">
        <f>[16]Summary!$AB$7</f>
        <v>?</v>
      </c>
      <c r="AK21" s="196" t="str">
        <f>[16]Summary!$AC$7</f>
        <v>?</v>
      </c>
      <c r="AL21" s="196" t="str">
        <f>[16]Summary!$AD$7</f>
        <v>?</v>
      </c>
      <c r="AM21" s="202" t="str">
        <f>[16]Summary!$AE$7</f>
        <v xml:space="preserve">RTL:
POST:
FPGA: </v>
      </c>
    </row>
    <row r="22" spans="2:39" x14ac:dyDescent="0.3">
      <c r="B22" s="114">
        <v>17</v>
      </c>
      <c r="C22" s="114" t="str">
        <f>[17]Summary!$B$7</f>
        <v>UART</v>
      </c>
      <c r="D22" s="114" t="str">
        <f>[17]Summary!$C$7</f>
        <v>안병욱 선임</v>
      </c>
      <c r="E22" s="141" t="str">
        <f>[17]Summary!$D$7</f>
        <v>안병욱 선임</v>
      </c>
      <c r="F22" s="146"/>
      <c r="G22" s="155">
        <v>17</v>
      </c>
      <c r="H22" s="155">
        <v>15</v>
      </c>
      <c r="I22" s="155">
        <v>25</v>
      </c>
      <c r="J22" s="155">
        <v>20</v>
      </c>
      <c r="K22" s="155">
        <f>[17]Summary!$I$7</f>
        <v>0</v>
      </c>
      <c r="L22" s="115">
        <f>[17]Summary!$J$7</f>
        <v>0</v>
      </c>
      <c r="M22" s="116" t="str">
        <f>[17]Summary!$K$7</f>
        <v>-</v>
      </c>
      <c r="N22" s="116">
        <f>[17]Summary!$L$7</f>
        <v>0</v>
      </c>
      <c r="O22" s="116">
        <f>[17]Summary!$M$7</f>
        <v>0</v>
      </c>
      <c r="P22" s="141" t="str">
        <f>[17]Summary!$N$7</f>
        <v>-</v>
      </c>
      <c r="Q22" s="257">
        <f t="shared" si="0"/>
        <v>42</v>
      </c>
      <c r="R22" s="260">
        <f t="shared" si="0"/>
        <v>35</v>
      </c>
      <c r="S22" s="146"/>
      <c r="T22" s="155">
        <v>25</v>
      </c>
      <c r="U22" s="115">
        <v>30</v>
      </c>
      <c r="V22" s="116" t="str">
        <f>[17]Summary!$Q$7</f>
        <v>-</v>
      </c>
      <c r="W22" s="141" t="str">
        <f>[17]Summary!$R$7</f>
        <v>-</v>
      </c>
      <c r="X22" s="146"/>
      <c r="Y22" s="155">
        <v>25</v>
      </c>
      <c r="Z22" s="115">
        <v>20</v>
      </c>
      <c r="AA22" s="116" t="str">
        <f>[17]Summary!$U$7</f>
        <v>-</v>
      </c>
      <c r="AB22" s="141" t="str">
        <f>[17]Summary!$V$7</f>
        <v>-</v>
      </c>
      <c r="AC22" s="147"/>
      <c r="AD22" s="205">
        <v>30</v>
      </c>
      <c r="AE22" s="115">
        <v>2</v>
      </c>
      <c r="AF22" s="116" t="str">
        <f>[17]Summary!$Y$7</f>
        <v>-</v>
      </c>
      <c r="AG22" s="206" t="str">
        <f>[17]Summary!$Z$7</f>
        <v>-</v>
      </c>
      <c r="AH22" s="174"/>
      <c r="AI22" s="143">
        <f>[17]Summary!$AA$7</f>
        <v>42138</v>
      </c>
      <c r="AJ22" s="114" t="str">
        <f>[17]Summary!$AB$7</f>
        <v>?</v>
      </c>
      <c r="AK22" s="114" t="str">
        <f>[17]Summary!$AC$7</f>
        <v>?</v>
      </c>
      <c r="AL22" s="114" t="str">
        <f>[17]Summary!$AD$7</f>
        <v>?</v>
      </c>
      <c r="AM22" s="117" t="str">
        <f>[17]Summary!$AE$7</f>
        <v xml:space="preserve">RTL:
POST:
FPGA: </v>
      </c>
    </row>
    <row r="23" spans="2:39" x14ac:dyDescent="0.3">
      <c r="B23" s="196">
        <v>18</v>
      </c>
      <c r="C23" s="196" t="str">
        <f>[18]Summary!$B$7</f>
        <v>Clock Controller</v>
      </c>
      <c r="D23" s="196" t="str">
        <f>[18]Summary!$C$7</f>
        <v>김정욱 책임</v>
      </c>
      <c r="E23" s="197" t="str">
        <f>[18]Summary!$D$7</f>
        <v>김정욱 책임</v>
      </c>
      <c r="F23" s="146"/>
      <c r="G23" s="198">
        <v>16</v>
      </c>
      <c r="H23" s="198">
        <v>15</v>
      </c>
      <c r="I23" s="198">
        <v>25</v>
      </c>
      <c r="J23" s="198">
        <v>25</v>
      </c>
      <c r="K23" s="198">
        <f>[18]Summary!$I$7</f>
        <v>0</v>
      </c>
      <c r="L23" s="199">
        <f>[18]Summary!$J$7</f>
        <v>0</v>
      </c>
      <c r="M23" s="200" t="str">
        <f>[18]Summary!$K$7</f>
        <v>-</v>
      </c>
      <c r="N23" s="200">
        <f>[18]Summary!$L$7</f>
        <v>0</v>
      </c>
      <c r="O23" s="200">
        <f>[18]Summary!$M$7</f>
        <v>0</v>
      </c>
      <c r="P23" s="197" t="str">
        <f>[18]Summary!$N$7</f>
        <v>-</v>
      </c>
      <c r="Q23" s="258">
        <f t="shared" si="0"/>
        <v>41</v>
      </c>
      <c r="R23" s="260">
        <f t="shared" si="0"/>
        <v>40</v>
      </c>
      <c r="S23" s="146"/>
      <c r="T23" s="198">
        <v>25</v>
      </c>
      <c r="U23" s="199">
        <v>20</v>
      </c>
      <c r="V23" s="200" t="str">
        <f>[18]Summary!$Q$7</f>
        <v>-</v>
      </c>
      <c r="W23" s="197" t="str">
        <f>[18]Summary!$R$7</f>
        <v>-</v>
      </c>
      <c r="X23" s="146"/>
      <c r="Y23" s="198">
        <v>25</v>
      </c>
      <c r="Z23" s="199">
        <v>25</v>
      </c>
      <c r="AA23" s="200" t="str">
        <f>[18]Summary!$U$7</f>
        <v>-</v>
      </c>
      <c r="AB23" s="197" t="str">
        <f>[18]Summary!$V$7</f>
        <v>-</v>
      </c>
      <c r="AC23" s="147"/>
      <c r="AD23" s="207">
        <v>30</v>
      </c>
      <c r="AE23" s="199">
        <v>5</v>
      </c>
      <c r="AF23" s="200" t="str">
        <f>[18]Summary!$Y$7</f>
        <v>-</v>
      </c>
      <c r="AG23" s="208" t="str">
        <f>[18]Summary!$Z$7</f>
        <v>-</v>
      </c>
      <c r="AH23" s="174"/>
      <c r="AI23" s="201">
        <f>[18]Summary!$AA$7</f>
        <v>42138</v>
      </c>
      <c r="AJ23" s="196" t="str">
        <f>[18]Summary!$AB$7</f>
        <v>?</v>
      </c>
      <c r="AK23" s="196" t="str">
        <f>[18]Summary!$AC$7</f>
        <v>?</v>
      </c>
      <c r="AL23" s="196" t="str">
        <f>[18]Summary!$AD$7</f>
        <v>?</v>
      </c>
      <c r="AM23" s="202" t="str">
        <f>[18]Summary!$AE$7</f>
        <v xml:space="preserve">RTL:
POST:
FPGA: </v>
      </c>
    </row>
    <row r="24" spans="2:39" x14ac:dyDescent="0.3">
      <c r="B24" s="114">
        <v>19</v>
      </c>
      <c r="C24" s="114" t="str">
        <f>[19]Summary!$B$7</f>
        <v>Reset Controller</v>
      </c>
      <c r="D24" s="114" t="str">
        <f>[19]Summary!$C$7</f>
        <v>김정욱 책임</v>
      </c>
      <c r="E24" s="141" t="str">
        <f>[19]Summary!$D$7</f>
        <v>김정욱 책임</v>
      </c>
      <c r="F24" s="146"/>
      <c r="G24" s="155">
        <v>20</v>
      </c>
      <c r="H24" s="155">
        <v>13</v>
      </c>
      <c r="I24" s="155">
        <v>25</v>
      </c>
      <c r="J24" s="155">
        <v>22</v>
      </c>
      <c r="K24" s="155">
        <f>[19]Summary!$I$7</f>
        <v>0</v>
      </c>
      <c r="L24" s="115">
        <f>[19]Summary!$J$7</f>
        <v>0</v>
      </c>
      <c r="M24" s="116" t="str">
        <f>[19]Summary!$K$7</f>
        <v>-</v>
      </c>
      <c r="N24" s="116">
        <f>[19]Summary!$L$7</f>
        <v>0</v>
      </c>
      <c r="O24" s="116">
        <f>[19]Summary!$M$7</f>
        <v>0</v>
      </c>
      <c r="P24" s="141" t="str">
        <f>[19]Summary!$N$7</f>
        <v>-</v>
      </c>
      <c r="Q24" s="257">
        <f t="shared" si="0"/>
        <v>45</v>
      </c>
      <c r="R24" s="260">
        <f t="shared" si="0"/>
        <v>35</v>
      </c>
      <c r="S24" s="146"/>
      <c r="T24" s="155">
        <v>25</v>
      </c>
      <c r="U24" s="115">
        <v>20</v>
      </c>
      <c r="V24" s="116" t="str">
        <f>[19]Summary!$Q$7</f>
        <v>-</v>
      </c>
      <c r="W24" s="141" t="str">
        <f>[19]Summary!$R$7</f>
        <v>-</v>
      </c>
      <c r="X24" s="146"/>
      <c r="Y24" s="155">
        <v>25</v>
      </c>
      <c r="Z24" s="115">
        <v>22</v>
      </c>
      <c r="AA24" s="116" t="str">
        <f>[19]Summary!$U$7</f>
        <v>-</v>
      </c>
      <c r="AB24" s="141" t="str">
        <f>[19]Summary!$V$7</f>
        <v>-</v>
      </c>
      <c r="AC24" s="147"/>
      <c r="AD24" s="205">
        <v>30</v>
      </c>
      <c r="AE24" s="115">
        <v>8</v>
      </c>
      <c r="AF24" s="116" t="str">
        <f>[19]Summary!$Y$7</f>
        <v>-</v>
      </c>
      <c r="AG24" s="206" t="str">
        <f>[19]Summary!$Z$7</f>
        <v>-</v>
      </c>
      <c r="AH24" s="174"/>
      <c r="AI24" s="143">
        <f>[19]Summary!$AA$7</f>
        <v>42138</v>
      </c>
      <c r="AJ24" s="114" t="str">
        <f>[19]Summary!$AB$7</f>
        <v>?</v>
      </c>
      <c r="AK24" s="114" t="str">
        <f>[19]Summary!$AC$7</f>
        <v>?</v>
      </c>
      <c r="AL24" s="114" t="str">
        <f>[19]Summary!$AD$7</f>
        <v>?</v>
      </c>
      <c r="AM24" s="117" t="str">
        <f>[19]Summary!$AE$7</f>
        <v xml:space="preserve">RTL:
POST:
FPGA: </v>
      </c>
    </row>
    <row r="25" spans="2:39" x14ac:dyDescent="0.3">
      <c r="B25" s="196">
        <v>20</v>
      </c>
      <c r="C25" s="196" t="str">
        <f>[20]Summary!$B$7</f>
        <v>eFuse Controller</v>
      </c>
      <c r="D25" s="196" t="str">
        <f>[20]Summary!$C$7</f>
        <v>안병욱 선임</v>
      </c>
      <c r="E25" s="197" t="str">
        <f>[20]Summary!$D$7</f>
        <v>안병욱 선임</v>
      </c>
      <c r="F25" s="146"/>
      <c r="G25" s="198">
        <v>21</v>
      </c>
      <c r="H25" s="198">
        <v>20</v>
      </c>
      <c r="I25" s="198">
        <v>25</v>
      </c>
      <c r="J25" s="198">
        <v>22</v>
      </c>
      <c r="K25" s="198">
        <f>[20]Summary!$I$7</f>
        <v>0</v>
      </c>
      <c r="L25" s="199">
        <f>[20]Summary!$J$7</f>
        <v>0</v>
      </c>
      <c r="M25" s="200" t="str">
        <f>[20]Summary!$K$7</f>
        <v>-</v>
      </c>
      <c r="N25" s="200">
        <f>[20]Summary!$L$7</f>
        <v>0</v>
      </c>
      <c r="O25" s="200">
        <f>[20]Summary!$M$7</f>
        <v>0</v>
      </c>
      <c r="P25" s="197" t="str">
        <f>[20]Summary!$N$7</f>
        <v>-</v>
      </c>
      <c r="Q25" s="258">
        <f t="shared" si="0"/>
        <v>46</v>
      </c>
      <c r="R25" s="260">
        <f t="shared" si="0"/>
        <v>42</v>
      </c>
      <c r="S25" s="146"/>
      <c r="T25" s="198">
        <v>40</v>
      </c>
      <c r="U25" s="199">
        <v>35</v>
      </c>
      <c r="V25" s="200" t="str">
        <f>[20]Summary!$Q$7</f>
        <v>-</v>
      </c>
      <c r="W25" s="197" t="str">
        <f>[20]Summary!$R$7</f>
        <v>-</v>
      </c>
      <c r="X25" s="146"/>
      <c r="Y25" s="198">
        <v>25</v>
      </c>
      <c r="Z25" s="199">
        <v>22</v>
      </c>
      <c r="AA25" s="200" t="str">
        <f>[20]Summary!$U$7</f>
        <v>-</v>
      </c>
      <c r="AB25" s="197" t="str">
        <f>[20]Summary!$V$7</f>
        <v>-</v>
      </c>
      <c r="AC25" s="147"/>
      <c r="AD25" s="207">
        <v>25</v>
      </c>
      <c r="AE25" s="199">
        <v>9</v>
      </c>
      <c r="AF25" s="200" t="str">
        <f>[20]Summary!$Y$7</f>
        <v>-</v>
      </c>
      <c r="AG25" s="208" t="str">
        <f>[20]Summary!$Z$7</f>
        <v>-</v>
      </c>
      <c r="AH25" s="174"/>
      <c r="AI25" s="201">
        <f>[20]Summary!$AA$7</f>
        <v>42138</v>
      </c>
      <c r="AJ25" s="196" t="str">
        <f>[20]Summary!$AB$7</f>
        <v>?</v>
      </c>
      <c r="AK25" s="196" t="str">
        <f>[20]Summary!$AC$7</f>
        <v>?</v>
      </c>
      <c r="AL25" s="196" t="str">
        <f>[20]Summary!$AD$7</f>
        <v>?</v>
      </c>
      <c r="AM25" s="202" t="str">
        <f>[20]Summary!$AE$7</f>
        <v xml:space="preserve">RTL:
POST:
FPGA: </v>
      </c>
    </row>
    <row r="26" spans="2:39" x14ac:dyDescent="0.3">
      <c r="B26" s="114">
        <v>21</v>
      </c>
      <c r="C26" s="114" t="str">
        <f>[21]Summary!$B$7</f>
        <v>M-PHY</v>
      </c>
      <c r="D26" s="114" t="str">
        <f>[21]Summary!$C$7</f>
        <v>이현주 선임</v>
      </c>
      <c r="E26" s="141" t="str">
        <f>[21]Summary!$D$7</f>
        <v>이현주 선임</v>
      </c>
      <c r="F26" s="146"/>
      <c r="G26" s="155">
        <v>25</v>
      </c>
      <c r="H26" s="155">
        <v>22</v>
      </c>
      <c r="I26" s="155">
        <v>25</v>
      </c>
      <c r="J26" s="155">
        <v>23</v>
      </c>
      <c r="K26" s="155">
        <f>[21]Summary!$I$7</f>
        <v>0</v>
      </c>
      <c r="L26" s="115">
        <f>[21]Summary!$J$7</f>
        <v>0</v>
      </c>
      <c r="M26" s="116" t="str">
        <f>[21]Summary!$K$7</f>
        <v>-</v>
      </c>
      <c r="N26" s="116">
        <f>[21]Summary!$L$7</f>
        <v>0</v>
      </c>
      <c r="O26" s="116">
        <f>[21]Summary!$M$7</f>
        <v>0</v>
      </c>
      <c r="P26" s="141" t="str">
        <f>[21]Summary!$N$7</f>
        <v>-</v>
      </c>
      <c r="Q26" s="257">
        <f t="shared" si="0"/>
        <v>50</v>
      </c>
      <c r="R26" s="260">
        <f t="shared" si="0"/>
        <v>45</v>
      </c>
      <c r="S26" s="146"/>
      <c r="T26" s="155">
        <v>40</v>
      </c>
      <c r="U26" s="115">
        <v>30</v>
      </c>
      <c r="V26" s="116" t="str">
        <f>[21]Summary!$Q$7</f>
        <v>-</v>
      </c>
      <c r="W26" s="141" t="str">
        <f>[21]Summary!$R$7</f>
        <v>-</v>
      </c>
      <c r="X26" s="146"/>
      <c r="Y26" s="155">
        <v>25</v>
      </c>
      <c r="Z26" s="115">
        <v>23</v>
      </c>
      <c r="AA26" s="116" t="str">
        <f>[21]Summary!$U$7</f>
        <v>-</v>
      </c>
      <c r="AB26" s="141" t="str">
        <f>[21]Summary!$V$7</f>
        <v>-</v>
      </c>
      <c r="AC26" s="147"/>
      <c r="AD26" s="205">
        <v>25</v>
      </c>
      <c r="AE26" s="115">
        <v>7</v>
      </c>
      <c r="AF26" s="116" t="str">
        <f>[21]Summary!$Y$7</f>
        <v>-</v>
      </c>
      <c r="AG26" s="206" t="str">
        <f>[21]Summary!$Z$7</f>
        <v>-</v>
      </c>
      <c r="AH26" s="174"/>
      <c r="AI26" s="143">
        <f>[21]Summary!$AA$7</f>
        <v>42138</v>
      </c>
      <c r="AJ26" s="114" t="str">
        <f>[21]Summary!$AB$7</f>
        <v>?</v>
      </c>
      <c r="AK26" s="114" t="str">
        <f>[21]Summary!$AC$7</f>
        <v>?</v>
      </c>
      <c r="AL26" s="114" t="str">
        <f>[21]Summary!$AD$7</f>
        <v>?</v>
      </c>
      <c r="AM26" s="117" t="str">
        <f>[21]Summary!$AE$7</f>
        <v xml:space="preserve">RTL:
POST:
FPGA: </v>
      </c>
    </row>
    <row r="27" spans="2:39" x14ac:dyDescent="0.3">
      <c r="B27" s="196">
        <v>22</v>
      </c>
      <c r="C27" s="196" t="str">
        <f>[22]Summary!$B$7</f>
        <v>Nand PHY</v>
      </c>
      <c r="D27" s="196" t="str">
        <f>[22]Summary!$C$7</f>
        <v>이종용 선임</v>
      </c>
      <c r="E27" s="197" t="str">
        <f>[22]Summary!$D$7</f>
        <v>이종용 선임</v>
      </c>
      <c r="F27" s="146"/>
      <c r="G27" s="198">
        <v>20</v>
      </c>
      <c r="H27" s="198">
        <v>20</v>
      </c>
      <c r="I27" s="198">
        <v>30</v>
      </c>
      <c r="J27" s="198">
        <v>25</v>
      </c>
      <c r="K27" s="198">
        <f>[22]Summary!$I$7</f>
        <v>0</v>
      </c>
      <c r="L27" s="199">
        <f>[22]Summary!$J$7</f>
        <v>0</v>
      </c>
      <c r="M27" s="200" t="str">
        <f>[22]Summary!$K$7</f>
        <v>-</v>
      </c>
      <c r="N27" s="200">
        <f>[22]Summary!$L$7</f>
        <v>0</v>
      </c>
      <c r="O27" s="200">
        <f>[22]Summary!$M$7</f>
        <v>0</v>
      </c>
      <c r="P27" s="197" t="str">
        <f>[22]Summary!$N$7</f>
        <v>-</v>
      </c>
      <c r="Q27" s="258">
        <f t="shared" si="0"/>
        <v>50</v>
      </c>
      <c r="R27" s="260">
        <f t="shared" si="0"/>
        <v>45</v>
      </c>
      <c r="S27" s="146"/>
      <c r="T27" s="198">
        <v>35</v>
      </c>
      <c r="U27" s="199">
        <v>30</v>
      </c>
      <c r="V27" s="200" t="str">
        <f>[22]Summary!$Q$7</f>
        <v>-</v>
      </c>
      <c r="W27" s="197" t="str">
        <f>[22]Summary!$R$7</f>
        <v>-</v>
      </c>
      <c r="X27" s="146"/>
      <c r="Y27" s="198">
        <v>30</v>
      </c>
      <c r="Z27" s="199">
        <v>30</v>
      </c>
      <c r="AA27" s="200" t="str">
        <f>[22]Summary!$U$7</f>
        <v>-</v>
      </c>
      <c r="AB27" s="197" t="str">
        <f>[22]Summary!$V$7</f>
        <v>-</v>
      </c>
      <c r="AC27" s="147"/>
      <c r="AD27" s="207">
        <v>30</v>
      </c>
      <c r="AE27" s="199">
        <v>5</v>
      </c>
      <c r="AF27" s="200" t="str">
        <f>[22]Summary!$Y$7</f>
        <v>-</v>
      </c>
      <c r="AG27" s="208" t="str">
        <f>[22]Summary!$Z$7</f>
        <v>-</v>
      </c>
      <c r="AH27" s="174"/>
      <c r="AI27" s="201">
        <f>[22]Summary!$AA$7</f>
        <v>42138</v>
      </c>
      <c r="AJ27" s="196" t="str">
        <f>[22]Summary!$AB$7</f>
        <v>?</v>
      </c>
      <c r="AK27" s="196" t="str">
        <f>[22]Summary!$AC$7</f>
        <v>?</v>
      </c>
      <c r="AL27" s="196" t="str">
        <f>[22]Summary!$AD$7</f>
        <v>?</v>
      </c>
      <c r="AM27" s="202" t="str">
        <f>[22]Summary!$AE$7</f>
        <v xml:space="preserve">RTL:
POST:
FPGA: </v>
      </c>
    </row>
    <row r="28" spans="2:39" x14ac:dyDescent="0.3">
      <c r="B28" s="114">
        <v>23</v>
      </c>
      <c r="C28" s="114" t="str">
        <f>[23]Summary!$B$7</f>
        <v>Nand IO</v>
      </c>
      <c r="D28" s="114" t="str">
        <f>[23]Summary!$C$7</f>
        <v>이종용 선임</v>
      </c>
      <c r="E28" s="141" t="str">
        <f>[23]Summary!$D$7</f>
        <v>이종용 선임</v>
      </c>
      <c r="F28" s="146"/>
      <c r="G28" s="155">
        <v>30</v>
      </c>
      <c r="H28" s="155">
        <v>25</v>
      </c>
      <c r="I28" s="155">
        <v>35</v>
      </c>
      <c r="J28" s="155">
        <v>30</v>
      </c>
      <c r="K28" s="155">
        <f>[23]Summary!$I$7</f>
        <v>0</v>
      </c>
      <c r="L28" s="115">
        <f>[23]Summary!$J$7</f>
        <v>0</v>
      </c>
      <c r="M28" s="116" t="str">
        <f>[23]Summary!$K$7</f>
        <v>-</v>
      </c>
      <c r="N28" s="116">
        <f>[23]Summary!$L$7</f>
        <v>0</v>
      </c>
      <c r="O28" s="116">
        <f>[23]Summary!$M$7</f>
        <v>0</v>
      </c>
      <c r="P28" s="141" t="str">
        <f>[23]Summary!$N$7</f>
        <v>-</v>
      </c>
      <c r="Q28" s="257">
        <f t="shared" si="0"/>
        <v>65</v>
      </c>
      <c r="R28" s="260">
        <f t="shared" si="0"/>
        <v>55</v>
      </c>
      <c r="S28" s="146"/>
      <c r="T28" s="155">
        <v>35</v>
      </c>
      <c r="U28" s="115">
        <v>30</v>
      </c>
      <c r="V28" s="116" t="str">
        <f>[23]Summary!$Q$7</f>
        <v>-</v>
      </c>
      <c r="W28" s="141" t="str">
        <f>[23]Summary!$R$7</f>
        <v>-</v>
      </c>
      <c r="X28" s="146"/>
      <c r="Y28" s="155">
        <v>20</v>
      </c>
      <c r="Z28" s="115">
        <v>18</v>
      </c>
      <c r="AA28" s="116" t="str">
        <f>[23]Summary!$U$7</f>
        <v>-</v>
      </c>
      <c r="AB28" s="141" t="str">
        <f>[23]Summary!$V$7</f>
        <v>-</v>
      </c>
      <c r="AC28" s="147"/>
      <c r="AD28" s="205">
        <v>30</v>
      </c>
      <c r="AE28" s="115">
        <v>8</v>
      </c>
      <c r="AF28" s="116" t="str">
        <f>[23]Summary!$Y$7</f>
        <v>-</v>
      </c>
      <c r="AG28" s="206" t="str">
        <f>[23]Summary!$Z$7</f>
        <v>-</v>
      </c>
      <c r="AH28" s="174"/>
      <c r="AI28" s="143">
        <f>[23]Summary!$AA$7</f>
        <v>42138</v>
      </c>
      <c r="AJ28" s="114" t="str">
        <f>[23]Summary!$AB$7</f>
        <v>?</v>
      </c>
      <c r="AK28" s="114" t="str">
        <f>[23]Summary!$AC$7</f>
        <v>?</v>
      </c>
      <c r="AL28" s="114" t="str">
        <f>[23]Summary!$AD$7</f>
        <v>?</v>
      </c>
      <c r="AM28" s="117" t="str">
        <f>[23]Summary!$AE$7</f>
        <v xml:space="preserve">RTL:
POST:
FPGA: </v>
      </c>
    </row>
    <row r="29" spans="2:39" x14ac:dyDescent="0.3">
      <c r="B29" s="196">
        <v>24</v>
      </c>
      <c r="C29" s="196" t="str">
        <f>[24]Summary!$B$7</f>
        <v>Test Mux</v>
      </c>
      <c r="D29" s="196" t="str">
        <f>[24]Summary!$C$7</f>
        <v>양창호 선임</v>
      </c>
      <c r="E29" s="197" t="str">
        <f>[24]Summary!$D$7</f>
        <v>양창호 선임</v>
      </c>
      <c r="F29" s="146"/>
      <c r="G29" s="198">
        <v>35</v>
      </c>
      <c r="H29" s="198">
        <v>30</v>
      </c>
      <c r="I29" s="198">
        <v>20</v>
      </c>
      <c r="J29" s="198">
        <v>15</v>
      </c>
      <c r="K29" s="198">
        <f>[24]Summary!$I$7</f>
        <v>0</v>
      </c>
      <c r="L29" s="199">
        <f>[24]Summary!$J$7</f>
        <v>0</v>
      </c>
      <c r="M29" s="200" t="str">
        <f>[24]Summary!$K$7</f>
        <v>-</v>
      </c>
      <c r="N29" s="200">
        <f>[24]Summary!$L$7</f>
        <v>0</v>
      </c>
      <c r="O29" s="200">
        <f>[24]Summary!$M$7</f>
        <v>0</v>
      </c>
      <c r="P29" s="197" t="str">
        <f>[24]Summary!$N$7</f>
        <v>-</v>
      </c>
      <c r="Q29" s="258">
        <f t="shared" si="0"/>
        <v>55</v>
      </c>
      <c r="R29" s="260">
        <f t="shared" si="0"/>
        <v>45</v>
      </c>
      <c r="S29" s="146"/>
      <c r="T29" s="198">
        <v>20</v>
      </c>
      <c r="U29" s="199">
        <v>20</v>
      </c>
      <c r="V29" s="200" t="str">
        <f>[24]Summary!$Q$7</f>
        <v>-</v>
      </c>
      <c r="W29" s="197" t="str">
        <f>[24]Summary!$R$7</f>
        <v>-</v>
      </c>
      <c r="X29" s="146"/>
      <c r="Y29" s="198">
        <v>30</v>
      </c>
      <c r="Z29" s="199">
        <v>15</v>
      </c>
      <c r="AA29" s="200" t="str">
        <f>[24]Summary!$U$7</f>
        <v>-</v>
      </c>
      <c r="AB29" s="197" t="str">
        <f>[24]Summary!$V$7</f>
        <v>-</v>
      </c>
      <c r="AC29" s="147"/>
      <c r="AD29" s="207">
        <v>25</v>
      </c>
      <c r="AE29" s="199">
        <v>2</v>
      </c>
      <c r="AF29" s="200" t="str">
        <f>[24]Summary!$Y$7</f>
        <v>-</v>
      </c>
      <c r="AG29" s="208" t="str">
        <f>[24]Summary!$Z$7</f>
        <v>-</v>
      </c>
      <c r="AH29" s="174"/>
      <c r="AI29" s="201">
        <f>[24]Summary!$AA$7</f>
        <v>42138</v>
      </c>
      <c r="AJ29" s="196" t="str">
        <f>[24]Summary!$AB$7</f>
        <v>?</v>
      </c>
      <c r="AK29" s="196" t="str">
        <f>[24]Summary!$AC$7</f>
        <v>?</v>
      </c>
      <c r="AL29" s="196" t="str">
        <f>[24]Summary!$AD$7</f>
        <v>?</v>
      </c>
      <c r="AM29" s="202" t="str">
        <f>[24]Summary!$AE$7</f>
        <v xml:space="preserve">RTL:
POST:
FPGA: </v>
      </c>
    </row>
    <row r="30" spans="2:39" x14ac:dyDescent="0.3">
      <c r="B30" s="114">
        <v>25</v>
      </c>
      <c r="C30" s="114" t="str">
        <f>[25]Summary!$B$7</f>
        <v>HW Bypass</v>
      </c>
      <c r="D30" s="114" t="str">
        <f>[25]Summary!$C$7</f>
        <v>양창호 선임</v>
      </c>
      <c r="E30" s="141" t="str">
        <f>[25]Summary!$D$7</f>
        <v>양창호 선임</v>
      </c>
      <c r="F30" s="146"/>
      <c r="G30" s="155">
        <v>20</v>
      </c>
      <c r="H30" s="155">
        <v>20</v>
      </c>
      <c r="I30" s="155">
        <v>25</v>
      </c>
      <c r="J30" s="155">
        <v>25</v>
      </c>
      <c r="K30" s="155">
        <f>[25]Summary!$I$7</f>
        <v>0</v>
      </c>
      <c r="L30" s="115">
        <f>[25]Summary!$J$7</f>
        <v>0</v>
      </c>
      <c r="M30" s="116" t="str">
        <f>[25]Summary!$K$7</f>
        <v>-</v>
      </c>
      <c r="N30" s="116">
        <f>[25]Summary!$L$7</f>
        <v>0</v>
      </c>
      <c r="O30" s="116">
        <f>[25]Summary!$M$7</f>
        <v>0</v>
      </c>
      <c r="P30" s="141" t="str">
        <f>[25]Summary!$N$7</f>
        <v>-</v>
      </c>
      <c r="Q30" s="257">
        <f t="shared" si="0"/>
        <v>45</v>
      </c>
      <c r="R30" s="260">
        <f t="shared" si="0"/>
        <v>45</v>
      </c>
      <c r="S30" s="146"/>
      <c r="T30" s="155">
        <v>25</v>
      </c>
      <c r="U30" s="115">
        <v>20</v>
      </c>
      <c r="V30" s="116" t="str">
        <f>[25]Summary!$Q$7</f>
        <v>-</v>
      </c>
      <c r="W30" s="141" t="str">
        <f>[25]Summary!$R$7</f>
        <v>-</v>
      </c>
      <c r="X30" s="146"/>
      <c r="Y30" s="155">
        <v>25</v>
      </c>
      <c r="Z30" s="115">
        <v>5</v>
      </c>
      <c r="AA30" s="116" t="str">
        <f>[25]Summary!$U$7</f>
        <v>-</v>
      </c>
      <c r="AB30" s="141" t="str">
        <f>[25]Summary!$V$7</f>
        <v>-</v>
      </c>
      <c r="AC30" s="147"/>
      <c r="AD30" s="205">
        <v>30</v>
      </c>
      <c r="AE30" s="115">
        <v>2</v>
      </c>
      <c r="AF30" s="116" t="str">
        <f>[25]Summary!$Y$7</f>
        <v>-</v>
      </c>
      <c r="AG30" s="206" t="str">
        <f>[25]Summary!$Z$7</f>
        <v>-</v>
      </c>
      <c r="AH30" s="174"/>
      <c r="AI30" s="143">
        <f>[25]Summary!$AA$7</f>
        <v>42138</v>
      </c>
      <c r="AJ30" s="114" t="str">
        <f>[25]Summary!$AB$7</f>
        <v>?</v>
      </c>
      <c r="AK30" s="114" t="str">
        <f>[25]Summary!$AC$7</f>
        <v>?</v>
      </c>
      <c r="AL30" s="114" t="str">
        <f>[25]Summary!$AD$7</f>
        <v>?</v>
      </c>
      <c r="AM30" s="117" t="str">
        <f>[25]Summary!$AE$7</f>
        <v xml:space="preserve">RTL:
POST:
FPGA: </v>
      </c>
    </row>
    <row r="31" spans="2:39" x14ac:dyDescent="0.3">
      <c r="B31" s="196">
        <v>26</v>
      </c>
      <c r="C31" s="196" t="str">
        <f>[26]Summary!$B$7</f>
        <v>Analog IP</v>
      </c>
      <c r="D31" s="196" t="str">
        <f>[26]Summary!$C$7</f>
        <v>양창호 선임</v>
      </c>
      <c r="E31" s="197" t="str">
        <f>[26]Summary!$D$7</f>
        <v>양창호 선임</v>
      </c>
      <c r="F31" s="146"/>
      <c r="G31" s="198">
        <v>20</v>
      </c>
      <c r="H31" s="198">
        <v>18</v>
      </c>
      <c r="I31" s="198">
        <v>30</v>
      </c>
      <c r="J31" s="198">
        <v>30</v>
      </c>
      <c r="K31" s="198">
        <f>[26]Summary!$I$7</f>
        <v>0</v>
      </c>
      <c r="L31" s="199">
        <f>[26]Summary!$J$7</f>
        <v>0</v>
      </c>
      <c r="M31" s="200" t="str">
        <f>[26]Summary!$K$7</f>
        <v>-</v>
      </c>
      <c r="N31" s="200">
        <f>[26]Summary!$L$7</f>
        <v>0</v>
      </c>
      <c r="O31" s="200">
        <f>[26]Summary!$M$7</f>
        <v>0</v>
      </c>
      <c r="P31" s="197" t="str">
        <f>[26]Summary!$N$7</f>
        <v>-</v>
      </c>
      <c r="Q31" s="258">
        <f t="shared" si="0"/>
        <v>50</v>
      </c>
      <c r="R31" s="260">
        <f t="shared" si="0"/>
        <v>48</v>
      </c>
      <c r="S31" s="146"/>
      <c r="T31" s="198">
        <v>30</v>
      </c>
      <c r="U31" s="199">
        <v>20</v>
      </c>
      <c r="V31" s="200" t="str">
        <f>[26]Summary!$Q$7</f>
        <v>-</v>
      </c>
      <c r="W31" s="197" t="str">
        <f>[26]Summary!$R$7</f>
        <v>-</v>
      </c>
      <c r="X31" s="146"/>
      <c r="Y31" s="198">
        <v>30</v>
      </c>
      <c r="Z31" s="199">
        <v>2</v>
      </c>
      <c r="AA31" s="200" t="str">
        <f>[26]Summary!$U$7</f>
        <v>-</v>
      </c>
      <c r="AB31" s="197" t="str">
        <f>[26]Summary!$V$7</f>
        <v>-</v>
      </c>
      <c r="AC31" s="147"/>
      <c r="AD31" s="207">
        <v>40</v>
      </c>
      <c r="AE31" s="199">
        <v>5</v>
      </c>
      <c r="AF31" s="200" t="str">
        <f>[26]Summary!$Y$7</f>
        <v>-</v>
      </c>
      <c r="AG31" s="208" t="str">
        <f>[26]Summary!$Z$7</f>
        <v>-</v>
      </c>
      <c r="AH31" s="174"/>
      <c r="AI31" s="201">
        <f>[26]Summary!$AA$7</f>
        <v>42138</v>
      </c>
      <c r="AJ31" s="196" t="str">
        <f>[26]Summary!$AB$7</f>
        <v>?</v>
      </c>
      <c r="AK31" s="196" t="str">
        <f>[26]Summary!$AC$7</f>
        <v>?</v>
      </c>
      <c r="AL31" s="196" t="str">
        <f>[26]Summary!$AD$7</f>
        <v>?</v>
      </c>
      <c r="AM31" s="202" t="str">
        <f>[26]Summary!$AE$7</f>
        <v xml:space="preserve">RTL:
POST:
FPGA: </v>
      </c>
    </row>
    <row r="32" spans="2:39" x14ac:dyDescent="0.3">
      <c r="B32" s="114">
        <v>27</v>
      </c>
      <c r="C32" s="114" t="str">
        <f>[27]Summary!$B$7</f>
        <v>GPIO</v>
      </c>
      <c r="D32" s="114" t="str">
        <f>[27]Summary!$C$7</f>
        <v>양창호 선임</v>
      </c>
      <c r="E32" s="141" t="str">
        <f>[27]Summary!$D$7</f>
        <v>양창호 선임</v>
      </c>
      <c r="F32" s="146"/>
      <c r="G32" s="155">
        <v>20</v>
      </c>
      <c r="H32" s="155">
        <v>10</v>
      </c>
      <c r="I32" s="155">
        <v>40</v>
      </c>
      <c r="J32" s="155">
        <v>35</v>
      </c>
      <c r="K32" s="155">
        <f>[27]Summary!$I$7</f>
        <v>0</v>
      </c>
      <c r="L32" s="115">
        <f>[27]Summary!$J$7</f>
        <v>0</v>
      </c>
      <c r="M32" s="116" t="str">
        <f>[27]Summary!$K$7</f>
        <v>-</v>
      </c>
      <c r="N32" s="116">
        <f>[27]Summary!$L$7</f>
        <v>0</v>
      </c>
      <c r="O32" s="116">
        <f>[27]Summary!$M$7</f>
        <v>0</v>
      </c>
      <c r="P32" s="141" t="str">
        <f>[27]Summary!$N$7</f>
        <v>-</v>
      </c>
      <c r="Q32" s="257">
        <f t="shared" si="0"/>
        <v>60</v>
      </c>
      <c r="R32" s="260">
        <f t="shared" si="0"/>
        <v>45</v>
      </c>
      <c r="S32" s="146"/>
      <c r="T32" s="155">
        <v>30</v>
      </c>
      <c r="U32" s="115">
        <v>20</v>
      </c>
      <c r="V32" s="116" t="str">
        <f>[27]Summary!$Q$7</f>
        <v>-</v>
      </c>
      <c r="W32" s="141" t="str">
        <f>[27]Summary!$R$7</f>
        <v>-</v>
      </c>
      <c r="X32" s="146"/>
      <c r="Y32" s="155">
        <v>20</v>
      </c>
      <c r="Z32" s="115">
        <v>3</v>
      </c>
      <c r="AA32" s="116" t="str">
        <f>[27]Summary!$U$7</f>
        <v>-</v>
      </c>
      <c r="AB32" s="141" t="str">
        <f>[27]Summary!$V$7</f>
        <v>-</v>
      </c>
      <c r="AC32" s="147"/>
      <c r="AD32" s="205">
        <v>50</v>
      </c>
      <c r="AE32" s="115">
        <v>2</v>
      </c>
      <c r="AF32" s="116" t="str">
        <f>[27]Summary!$Y$7</f>
        <v>-</v>
      </c>
      <c r="AG32" s="206" t="str">
        <f>[27]Summary!$Z$7</f>
        <v>-</v>
      </c>
      <c r="AH32" s="174"/>
      <c r="AI32" s="143">
        <f>[27]Summary!$AA$7</f>
        <v>42138</v>
      </c>
      <c r="AJ32" s="114" t="str">
        <f>[27]Summary!$AB$7</f>
        <v>?</v>
      </c>
      <c r="AK32" s="114" t="str">
        <f>[27]Summary!$AC$7</f>
        <v>?</v>
      </c>
      <c r="AL32" s="114" t="str">
        <f>[27]Summary!$AD$7</f>
        <v>?</v>
      </c>
      <c r="AM32" s="117" t="str">
        <f>[27]Summary!$AE$7</f>
        <v xml:space="preserve">RTL:
POST:
FPGA: </v>
      </c>
    </row>
    <row r="33" spans="2:39" x14ac:dyDescent="0.3">
      <c r="B33" s="164" t="s">
        <v>71</v>
      </c>
      <c r="C33" s="164" t="str">
        <f>[28]Summary!$B$7</f>
        <v>End to End</v>
      </c>
      <c r="D33" s="164" t="str">
        <f>[28]Summary!$C$7</f>
        <v>ALL</v>
      </c>
      <c r="E33" s="165" t="str">
        <f>[28]Summary!$D$7</f>
        <v>조성엽 책임</v>
      </c>
      <c r="F33" s="146"/>
      <c r="G33" s="166">
        <v>10</v>
      </c>
      <c r="H33" s="166">
        <v>5</v>
      </c>
      <c r="I33" s="166">
        <v>10</v>
      </c>
      <c r="J33" s="166">
        <f>[28]Summary!$H$7</f>
        <v>0</v>
      </c>
      <c r="K33" s="166">
        <f>[28]Summary!$I$7</f>
        <v>0</v>
      </c>
      <c r="L33" s="167">
        <f>[28]Summary!$J$7</f>
        <v>0</v>
      </c>
      <c r="M33" s="168" t="str">
        <f>[28]Summary!$K$7</f>
        <v>-</v>
      </c>
      <c r="N33" s="168">
        <f>[28]Summary!$L$7</f>
        <v>0</v>
      </c>
      <c r="O33" s="168">
        <f>[28]Summary!$M$7</f>
        <v>0</v>
      </c>
      <c r="P33" s="165" t="str">
        <f>[28]Summary!$N$7</f>
        <v>-</v>
      </c>
      <c r="Q33" s="259">
        <f t="shared" si="0"/>
        <v>20</v>
      </c>
      <c r="R33" s="260">
        <f t="shared" si="0"/>
        <v>5</v>
      </c>
      <c r="S33" s="146"/>
      <c r="T33" s="166">
        <v>25</v>
      </c>
      <c r="U33" s="167">
        <v>15</v>
      </c>
      <c r="V33" s="168" t="str">
        <f>[28]Summary!$Q$7</f>
        <v>-</v>
      </c>
      <c r="W33" s="165" t="str">
        <f>[28]Summary!$R$7</f>
        <v>-</v>
      </c>
      <c r="X33" s="146"/>
      <c r="Y33" s="166">
        <v>25</v>
      </c>
      <c r="Z33" s="167">
        <v>5</v>
      </c>
      <c r="AA33" s="168" t="str">
        <f>[28]Summary!$U$7</f>
        <v>-</v>
      </c>
      <c r="AB33" s="165" t="str">
        <f>[28]Summary!$V$7</f>
        <v>-</v>
      </c>
      <c r="AC33" s="147"/>
      <c r="AD33" s="209">
        <v>20</v>
      </c>
      <c r="AE33" s="167">
        <v>5</v>
      </c>
      <c r="AF33" s="168" t="str">
        <f>[28]Summary!$Y$7</f>
        <v>-</v>
      </c>
      <c r="AG33" s="210" t="str">
        <f>[28]Summary!$Z$7</f>
        <v>-</v>
      </c>
      <c r="AH33" s="174"/>
      <c r="AI33" s="203">
        <f>[28]Summary!$AA$7</f>
        <v>42138</v>
      </c>
      <c r="AJ33" s="164" t="str">
        <f>[28]Summary!$AB$7</f>
        <v>?</v>
      </c>
      <c r="AK33" s="164" t="str">
        <f>[28]Summary!$AC$7</f>
        <v>?</v>
      </c>
      <c r="AL33" s="164" t="str">
        <f>[28]Summary!$AD$7</f>
        <v>?</v>
      </c>
      <c r="AM33" s="204" t="str">
        <f>[28]Summary!$AE$7</f>
        <v xml:space="preserve">RTL:
POST:
FPGA: </v>
      </c>
    </row>
    <row r="34" spans="2:39" x14ac:dyDescent="0.3">
      <c r="B34" s="164" t="s">
        <v>71</v>
      </c>
      <c r="C34" s="164" t="str">
        <f>[29]Summary!$B$7</f>
        <v>Post-Silicon Validation</v>
      </c>
      <c r="D34" s="164" t="str">
        <f>[29]Summary!$C$7</f>
        <v>ALL</v>
      </c>
      <c r="E34" s="165" t="str">
        <f>[29]Summary!$D$7</f>
        <v>ALL</v>
      </c>
      <c r="F34" s="146"/>
      <c r="G34" s="166"/>
      <c r="H34" s="166"/>
      <c r="I34" s="166"/>
      <c r="J34" s="166"/>
      <c r="K34" s="166"/>
      <c r="L34" s="167"/>
      <c r="M34" s="168"/>
      <c r="N34" s="168"/>
      <c r="O34" s="168"/>
      <c r="P34" s="165"/>
      <c r="Q34" s="259"/>
      <c r="R34" s="259"/>
      <c r="S34" s="146"/>
      <c r="T34" s="166"/>
      <c r="U34" s="167"/>
      <c r="V34" s="168"/>
      <c r="W34" s="165"/>
      <c r="X34" s="146"/>
      <c r="Y34" s="166"/>
      <c r="Z34" s="167"/>
      <c r="AA34" s="168"/>
      <c r="AB34" s="165"/>
      <c r="AC34" s="147"/>
      <c r="AD34" s="209"/>
      <c r="AE34" s="167"/>
      <c r="AF34" s="168"/>
      <c r="AG34" s="210"/>
      <c r="AH34" s="174"/>
      <c r="AI34" s="203"/>
      <c r="AJ34" s="164"/>
      <c r="AK34" s="164"/>
      <c r="AL34" s="164"/>
      <c r="AM34" s="204"/>
    </row>
    <row r="35" spans="2:39" x14ac:dyDescent="0.3">
      <c r="B35" s="309" t="s">
        <v>32</v>
      </c>
      <c r="C35" s="309"/>
      <c r="D35" s="310"/>
      <c r="E35" s="311"/>
      <c r="F35" s="176"/>
      <c r="G35" s="161">
        <f>AVERAGE(G6:G33)</f>
        <v>18.714285714285715</v>
      </c>
      <c r="H35" s="161">
        <f t="shared" ref="H35:K35" si="1">AVERAGE(H6:H33)</f>
        <v>14.642857142857142</v>
      </c>
      <c r="I35" s="161">
        <f t="shared" si="1"/>
        <v>24</v>
      </c>
      <c r="J35" s="161">
        <f t="shared" si="1"/>
        <v>19.035714285714285</v>
      </c>
      <c r="K35" s="161">
        <f t="shared" si="1"/>
        <v>0</v>
      </c>
      <c r="L35" s="108">
        <f>AVERAGE(L6:L33)</f>
        <v>0</v>
      </c>
      <c r="M35" s="109"/>
      <c r="N35" s="110">
        <f>AVERAGE(N7:N33)</f>
        <v>0</v>
      </c>
      <c r="O35" s="110">
        <f>AVERAGE(O6:O33)</f>
        <v>0</v>
      </c>
      <c r="P35" s="142"/>
      <c r="Q35" s="161">
        <f>AVERAGE(Q6:Q33)</f>
        <v>42.714285714285715</v>
      </c>
      <c r="R35" s="161">
        <f t="shared" ref="R35" si="2">AVERAGE(R6:R33)</f>
        <v>33.678571428571431</v>
      </c>
      <c r="S35" s="146"/>
      <c r="T35" s="161">
        <f>AVERAGE(T6:T33)</f>
        <v>30.357142857142858</v>
      </c>
      <c r="U35" s="108">
        <f>AVERAGE(U6:U33)</f>
        <v>24.678571428571427</v>
      </c>
      <c r="V35" s="109" t="s">
        <v>31</v>
      </c>
      <c r="W35" s="142"/>
      <c r="X35" s="146"/>
      <c r="Y35" s="161">
        <f>AVERAGE(Y6:Y33)</f>
        <v>26.428571428571427</v>
      </c>
      <c r="Z35" s="108">
        <f>AVERAGE(Z6:Z33)</f>
        <v>19.357142857142858</v>
      </c>
      <c r="AA35" s="109" t="s">
        <v>31</v>
      </c>
      <c r="AB35" s="142"/>
      <c r="AC35" s="147"/>
      <c r="AD35" s="211">
        <f>AVERAGE(AD6:AD33)</f>
        <v>26.607142857142858</v>
      </c>
      <c r="AE35" s="108">
        <f>AVERAGE(AE6:AE33)</f>
        <v>4.2142857142857144</v>
      </c>
      <c r="AF35" s="109" t="s">
        <v>31</v>
      </c>
      <c r="AG35" s="212"/>
      <c r="AH35" s="111"/>
      <c r="AJ35" s="106"/>
      <c r="AK35" s="106"/>
      <c r="AL35" s="106"/>
      <c r="AM35" s="107"/>
    </row>
    <row r="36" spans="2:39" x14ac:dyDescent="0.3">
      <c r="B36" s="309" t="s">
        <v>33</v>
      </c>
      <c r="C36" s="309"/>
      <c r="D36" s="307"/>
      <c r="E36" s="308"/>
      <c r="F36" s="176"/>
      <c r="G36" s="154">
        <f>SUM(G6:G33)</f>
        <v>524</v>
      </c>
      <c r="H36" s="154">
        <f t="shared" ref="H36:K36" si="3">SUM(H6:H33)</f>
        <v>410</v>
      </c>
      <c r="I36" s="154">
        <f t="shared" si="3"/>
        <v>672</v>
      </c>
      <c r="J36" s="154">
        <f t="shared" si="3"/>
        <v>533</v>
      </c>
      <c r="K36" s="154">
        <f t="shared" si="3"/>
        <v>0</v>
      </c>
      <c r="L36" s="178">
        <f>SUM(L6:L33)</f>
        <v>0</v>
      </c>
      <c r="M36" s="179">
        <f>IF(G36=0, "-", L36/G36)</f>
        <v>0</v>
      </c>
      <c r="N36" s="175" t="s">
        <v>31</v>
      </c>
      <c r="O36" s="175" t="s">
        <v>31</v>
      </c>
      <c r="P36" s="169"/>
      <c r="Q36" s="154">
        <f>SUM(Q6:Q33)</f>
        <v>1196</v>
      </c>
      <c r="R36" s="154">
        <f t="shared" ref="R36" si="4">SUM(R6:R33)</f>
        <v>943</v>
      </c>
      <c r="S36" s="146"/>
      <c r="T36" s="247">
        <f>SUM(T6:T33)</f>
        <v>850</v>
      </c>
      <c r="U36" s="183">
        <f>SUM(U6:U33)</f>
        <v>691</v>
      </c>
      <c r="V36" s="184">
        <f>IF(T36=0, "-", U36/T36)</f>
        <v>0.81294117647058828</v>
      </c>
      <c r="W36" s="142"/>
      <c r="X36" s="146"/>
      <c r="Y36" s="214">
        <f>SUM(Y6:Y33)</f>
        <v>740</v>
      </c>
      <c r="Z36" s="215">
        <f>SUM(Z6:Z33)</f>
        <v>542</v>
      </c>
      <c r="AA36" s="216">
        <f>IF(Y36=0, "-", Z36/Y36)</f>
        <v>0.73243243243243239</v>
      </c>
      <c r="AB36" s="217"/>
      <c r="AC36" s="218"/>
      <c r="AD36" s="219">
        <f>SUM(AD6:AD33)</f>
        <v>745</v>
      </c>
      <c r="AE36" s="220">
        <f>SUM(AE6:AE33)</f>
        <v>118</v>
      </c>
      <c r="AF36" s="221">
        <f>IF(AD36=0, "-", AE36/AD36)</f>
        <v>0.15838926174496645</v>
      </c>
      <c r="AG36" s="213"/>
    </row>
    <row r="37" spans="2:39" x14ac:dyDescent="0.3">
      <c r="B37" s="303" t="s">
        <v>42</v>
      </c>
      <c r="C37" s="303"/>
      <c r="D37" s="304"/>
      <c r="E37" s="305"/>
      <c r="F37" s="246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11"/>
      <c r="R37" s="111"/>
      <c r="S37" s="174"/>
      <c r="T37" s="180">
        <f>G36+T36</f>
        <v>1374</v>
      </c>
      <c r="U37" s="181">
        <f>L36+U36</f>
        <v>691</v>
      </c>
      <c r="V37" s="182">
        <f>IF(T37=0, "-", U37/T37)</f>
        <v>0.50291120815138279</v>
      </c>
      <c r="W37" s="142"/>
      <c r="X37" s="147"/>
      <c r="Y37" s="170"/>
      <c r="Z37" s="171"/>
      <c r="AA37" s="172"/>
      <c r="AB37" s="173"/>
      <c r="AC37" s="111"/>
      <c r="AD37" s="246"/>
      <c r="AE37" s="191"/>
      <c r="AF37" s="192"/>
      <c r="AG37" s="140"/>
    </row>
    <row r="38" spans="2:39" x14ac:dyDescent="0.3">
      <c r="AD38" s="107"/>
      <c r="AE38" s="107"/>
      <c r="AF38" s="107"/>
      <c r="AG38" s="107"/>
    </row>
    <row r="39" spans="2:39" x14ac:dyDescent="0.3">
      <c r="AD39" s="107"/>
      <c r="AE39" s="107"/>
      <c r="AF39" s="107"/>
      <c r="AG39" s="107"/>
      <c r="AI39" s="159">
        <v>1</v>
      </c>
      <c r="AJ39" s="160"/>
    </row>
    <row r="40" spans="2:39" x14ac:dyDescent="0.3">
      <c r="AI40" s="157">
        <v>0.9</v>
      </c>
      <c r="AJ40" s="156"/>
    </row>
    <row r="41" spans="2:39" x14ac:dyDescent="0.3">
      <c r="AI41" s="157">
        <v>0.7</v>
      </c>
      <c r="AJ41" s="157"/>
    </row>
    <row r="42" spans="2:39" x14ac:dyDescent="0.3">
      <c r="AI42" s="157">
        <v>0.5</v>
      </c>
      <c r="AJ42" s="157"/>
    </row>
    <row r="43" spans="2:39" x14ac:dyDescent="0.3">
      <c r="AI43" s="158">
        <v>0</v>
      </c>
      <c r="AJ43" s="157"/>
    </row>
    <row r="46" spans="2:39" x14ac:dyDescent="0.3">
      <c r="AJ46" s="195"/>
      <c r="AK46" s="162"/>
    </row>
  </sheetData>
  <mergeCells count="23">
    <mergeCell ref="B2:AI2"/>
    <mergeCell ref="AK2:AM2"/>
    <mergeCell ref="B3:B5"/>
    <mergeCell ref="D3:D5"/>
    <mergeCell ref="E3:E5"/>
    <mergeCell ref="G3:P3"/>
    <mergeCell ref="T3:W3"/>
    <mergeCell ref="Y3:AB3"/>
    <mergeCell ref="AD3:AG3"/>
    <mergeCell ref="AI3:AL3"/>
    <mergeCell ref="AM3:AM5"/>
    <mergeCell ref="G4:H4"/>
    <mergeCell ref="I4:J4"/>
    <mergeCell ref="K4:L4"/>
    <mergeCell ref="N4:N5"/>
    <mergeCell ref="O4:O5"/>
    <mergeCell ref="P4:P5"/>
    <mergeCell ref="B35:C35"/>
    <mergeCell ref="D35:E35"/>
    <mergeCell ref="B36:C36"/>
    <mergeCell ref="D36:E36"/>
    <mergeCell ref="B37:C37"/>
    <mergeCell ref="D37:E37"/>
  </mergeCells>
  <phoneticPr fontId="1" type="noConversion"/>
  <conditionalFormatting sqref="AI39:AI43 V6:V34 M6:O34 AA6:AA34 AF6:AF34">
    <cfRule type="iconSet" priority="1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G6:K34">
    <cfRule type="dataBar" priority="2">
      <dataBar>
        <cfvo type="min"/>
        <cfvo type="max"/>
        <color rgb="FF63C384"/>
      </dataBar>
    </cfRule>
  </conditionalFormatting>
  <conditionalFormatting sqref="L6:L34">
    <cfRule type="dataBar" priority="3">
      <dataBar>
        <cfvo type="min"/>
        <cfvo type="max"/>
        <color rgb="FF63C384"/>
      </dataBar>
    </cfRule>
  </conditionalFormatting>
  <conditionalFormatting sqref="T6:U34">
    <cfRule type="dataBar" priority="4">
      <dataBar>
        <cfvo type="min"/>
        <cfvo type="max"/>
        <color rgb="FF63C384"/>
      </dataBar>
    </cfRule>
  </conditionalFormatting>
  <conditionalFormatting sqref="AD6:AE34 Y6:Z34">
    <cfRule type="dataBar" priority="5">
      <dataBar>
        <cfvo type="min"/>
        <cfvo type="max"/>
        <color rgb="FF63C384"/>
      </dataBar>
    </cfRule>
  </conditionalFormatting>
  <conditionalFormatting sqref="AI6:AI34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37889" r:id="rId4">
          <objectPr defaultSize="0" autoPict="0" r:id="rId5">
            <anchor moveWithCells="1">
              <from>
                <xdr:col>39</xdr:col>
                <xdr:colOff>38100</xdr:colOff>
                <xdr:row>2</xdr:row>
                <xdr:rowOff>9525</xdr:rowOff>
              </from>
              <to>
                <xdr:col>40</xdr:col>
                <xdr:colOff>542925</xdr:colOff>
                <xdr:row>4</xdr:row>
                <xdr:rowOff>266700</xdr:rowOff>
              </to>
            </anchor>
          </objectPr>
        </oleObject>
      </mc:Choice>
      <mc:Fallback>
        <oleObject progId="Visio.Drawing.11" shapeId="3788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R46"/>
  <sheetViews>
    <sheetView showGridLines="0" zoomScale="90" zoomScaleNormal="90" workbookViewId="0">
      <selection activeCell="AW29" sqref="AW29"/>
    </sheetView>
  </sheetViews>
  <sheetFormatPr defaultRowHeight="12" outlineLevelCol="1" x14ac:dyDescent="0.3"/>
  <cols>
    <col min="1" max="1" width="1.25" style="102" customWidth="1"/>
    <col min="2" max="2" width="4" style="102" bestFit="1" customWidth="1"/>
    <col min="3" max="3" width="18.75" style="102" bestFit="1" customWidth="1"/>
    <col min="4" max="5" width="9.875" style="102" hidden="1" customWidth="1" outlineLevel="1"/>
    <col min="6" max="6" width="0.5" style="139" customWidth="1" collapsed="1"/>
    <col min="7" max="11" width="5.875" style="102" hidden="1" customWidth="1"/>
    <col min="12" max="12" width="6.75" style="102" hidden="1" customWidth="1"/>
    <col min="13" max="13" width="8.25" style="102" hidden="1" customWidth="1"/>
    <col min="14" max="14" width="8.125" style="102" hidden="1" customWidth="1"/>
    <col min="15" max="15" width="7.25" style="102" hidden="1" customWidth="1"/>
    <col min="16" max="18" width="5.25" style="102" hidden="1" customWidth="1"/>
    <col min="19" max="19" width="8.125" style="102" bestFit="1" customWidth="1"/>
    <col min="20" max="20" width="9.875" style="102" customWidth="1"/>
    <col min="21" max="21" width="0.5" style="139" customWidth="1"/>
    <col min="22" max="22" width="5.875" style="102" hidden="1" customWidth="1"/>
    <col min="23" max="23" width="7.375" style="102" hidden="1" customWidth="1"/>
    <col min="24" max="24" width="8.125" style="102" bestFit="1" customWidth="1"/>
    <col min="25" max="25" width="9.875" style="102" customWidth="1"/>
    <col min="26" max="26" width="12.875" style="102" hidden="1" customWidth="1"/>
    <col min="27" max="27" width="0.5" style="139" customWidth="1"/>
    <col min="28" max="28" width="5.75" style="102" hidden="1" customWidth="1" outlineLevel="1"/>
    <col min="29" max="29" width="6.375" style="102" hidden="1" customWidth="1" outlineLevel="1"/>
    <col min="30" max="30" width="8.125" style="102" customWidth="1" outlineLevel="1"/>
    <col min="31" max="31" width="5.25" style="102" hidden="1" customWidth="1" outlineLevel="1"/>
    <col min="32" max="32" width="9.875" style="102" customWidth="1" collapsed="1"/>
    <col min="33" max="33" width="0.5" style="139" customWidth="1" outlineLevel="1"/>
    <col min="34" max="34" width="5.75" style="102" hidden="1" customWidth="1" outlineLevel="1"/>
    <col min="35" max="35" width="6.375" style="102" hidden="1" customWidth="1" outlineLevel="1"/>
    <col min="36" max="36" width="8.125" style="102" customWidth="1" outlineLevel="1"/>
    <col min="37" max="37" width="9.875" style="102" customWidth="1"/>
    <col min="38" max="38" width="5.25" style="102" hidden="1" customWidth="1" outlineLevel="1"/>
    <col min="39" max="39" width="0.5" style="140" customWidth="1" outlineLevel="1"/>
    <col min="40" max="40" width="8" style="102" hidden="1" customWidth="1"/>
    <col min="41" max="43" width="5.625" style="102" hidden="1" customWidth="1"/>
    <col min="44" max="44" width="37.375" style="102" hidden="1" customWidth="1"/>
    <col min="45" max="46" width="0" style="102" hidden="1" customWidth="1"/>
    <col min="47" max="16384" width="9" style="102"/>
  </cols>
  <sheetData>
    <row r="1" spans="2:44" ht="5.25" customHeight="1" x14ac:dyDescent="0.3"/>
    <row r="2" spans="2:44" ht="26.25" x14ac:dyDescent="0.3">
      <c r="B2" s="287" t="s">
        <v>73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185"/>
      <c r="AP2" s="288">
        <v>42138</v>
      </c>
      <c r="AQ2" s="288"/>
      <c r="AR2" s="288"/>
    </row>
    <row r="3" spans="2:44" x14ac:dyDescent="0.3">
      <c r="B3" s="289" t="s">
        <v>1</v>
      </c>
      <c r="C3" s="261" t="s">
        <v>2</v>
      </c>
      <c r="D3" s="291" t="s">
        <v>16</v>
      </c>
      <c r="E3" s="293" t="s">
        <v>17</v>
      </c>
      <c r="F3" s="145"/>
      <c r="G3" s="295" t="s">
        <v>36</v>
      </c>
      <c r="H3" s="295"/>
      <c r="I3" s="295"/>
      <c r="J3" s="295"/>
      <c r="K3" s="295"/>
      <c r="L3" s="289"/>
      <c r="M3" s="289"/>
      <c r="N3" s="289"/>
      <c r="O3" s="289"/>
      <c r="P3" s="296"/>
      <c r="Q3" s="255"/>
      <c r="R3" s="255"/>
      <c r="S3" s="255"/>
      <c r="T3" s="255"/>
      <c r="U3" s="144"/>
      <c r="V3" s="295" t="s">
        <v>14</v>
      </c>
      <c r="W3" s="289"/>
      <c r="X3" s="289"/>
      <c r="Y3" s="296"/>
      <c r="Z3" s="296"/>
      <c r="AA3" s="144"/>
      <c r="AB3" s="295" t="s">
        <v>37</v>
      </c>
      <c r="AC3" s="289"/>
      <c r="AD3" s="289"/>
      <c r="AE3" s="296"/>
      <c r="AF3" s="255"/>
      <c r="AG3" s="187"/>
      <c r="AH3" s="297" t="s">
        <v>38</v>
      </c>
      <c r="AI3" s="298"/>
      <c r="AJ3" s="298"/>
      <c r="AK3" s="299"/>
      <c r="AL3" s="300"/>
      <c r="AM3" s="189"/>
      <c r="AN3" s="302" t="s">
        <v>12</v>
      </c>
      <c r="AO3" s="302"/>
      <c r="AP3" s="302"/>
      <c r="AQ3" s="295"/>
      <c r="AR3" s="289" t="s">
        <v>9</v>
      </c>
    </row>
    <row r="4" spans="2:44" x14ac:dyDescent="0.3">
      <c r="B4" s="290"/>
      <c r="C4" s="262"/>
      <c r="D4" s="292"/>
      <c r="E4" s="294"/>
      <c r="F4" s="145"/>
      <c r="G4" s="296" t="s">
        <v>74</v>
      </c>
      <c r="H4" s="295"/>
      <c r="I4" s="296" t="s">
        <v>75</v>
      </c>
      <c r="J4" s="295"/>
      <c r="K4" s="296" t="s">
        <v>76</v>
      </c>
      <c r="L4" s="295"/>
      <c r="M4" s="250" t="s">
        <v>77</v>
      </c>
      <c r="N4" s="292" t="s">
        <v>40</v>
      </c>
      <c r="O4" s="292" t="s">
        <v>41</v>
      </c>
      <c r="P4" s="292" t="s">
        <v>10</v>
      </c>
      <c r="Q4" s="273"/>
      <c r="R4" s="273"/>
      <c r="S4" s="262" t="s">
        <v>39</v>
      </c>
      <c r="T4" s="273"/>
      <c r="U4" s="144"/>
      <c r="V4" s="262" t="s">
        <v>0</v>
      </c>
      <c r="W4" s="262" t="s">
        <v>7</v>
      </c>
      <c r="X4" s="262" t="s">
        <v>39</v>
      </c>
      <c r="Y4" s="273"/>
      <c r="Z4" s="263" t="s">
        <v>10</v>
      </c>
      <c r="AA4" s="144"/>
      <c r="AB4" s="262" t="s">
        <v>0</v>
      </c>
      <c r="AC4" s="262" t="s">
        <v>7</v>
      </c>
      <c r="AD4" s="262" t="s">
        <v>39</v>
      </c>
      <c r="AE4" s="263" t="s">
        <v>10</v>
      </c>
      <c r="AF4" s="273"/>
      <c r="AG4" s="187"/>
      <c r="AH4" s="264" t="s">
        <v>0</v>
      </c>
      <c r="AI4" s="262" t="s">
        <v>7</v>
      </c>
      <c r="AJ4" s="262" t="s">
        <v>39</v>
      </c>
      <c r="AK4" s="273"/>
      <c r="AL4" s="265" t="s">
        <v>10</v>
      </c>
      <c r="AM4" s="189"/>
      <c r="AN4" s="266" t="s">
        <v>19</v>
      </c>
      <c r="AO4" s="266" t="s">
        <v>5</v>
      </c>
      <c r="AP4" s="266" t="s">
        <v>14</v>
      </c>
      <c r="AQ4" s="266" t="s">
        <v>38</v>
      </c>
      <c r="AR4" s="290"/>
    </row>
    <row r="5" spans="2:44" ht="24" x14ac:dyDescent="0.3">
      <c r="B5" s="290"/>
      <c r="C5" s="262" t="s">
        <v>2</v>
      </c>
      <c r="D5" s="292"/>
      <c r="E5" s="294"/>
      <c r="F5" s="145"/>
      <c r="G5" s="154" t="s">
        <v>0</v>
      </c>
      <c r="H5" s="250" t="s">
        <v>7</v>
      </c>
      <c r="I5" s="154" t="s">
        <v>0</v>
      </c>
      <c r="J5" s="250" t="s">
        <v>7</v>
      </c>
      <c r="K5" s="154" t="s">
        <v>0</v>
      </c>
      <c r="L5" s="250" t="s">
        <v>7</v>
      </c>
      <c r="M5" s="250" t="s">
        <v>39</v>
      </c>
      <c r="N5" s="301"/>
      <c r="O5" s="301"/>
      <c r="P5" s="301"/>
      <c r="Q5" s="273" t="s">
        <v>126</v>
      </c>
      <c r="R5" s="273" t="s">
        <v>127</v>
      </c>
      <c r="S5" s="274" t="s">
        <v>134</v>
      </c>
      <c r="T5" s="273"/>
      <c r="U5" s="145"/>
      <c r="V5" s="275" t="s">
        <v>128</v>
      </c>
      <c r="W5" s="275" t="s">
        <v>129</v>
      </c>
      <c r="X5" s="274" t="s">
        <v>134</v>
      </c>
      <c r="Y5" s="273"/>
      <c r="Z5" s="276"/>
      <c r="AA5" s="145"/>
      <c r="AB5" s="275" t="s">
        <v>130</v>
      </c>
      <c r="AC5" s="275" t="s">
        <v>131</v>
      </c>
      <c r="AD5" s="275"/>
      <c r="AE5" s="276"/>
      <c r="AF5" s="273"/>
      <c r="AG5" s="188"/>
      <c r="AH5" s="277" t="s">
        <v>132</v>
      </c>
      <c r="AI5" s="275" t="s">
        <v>133</v>
      </c>
      <c r="AJ5" s="275"/>
      <c r="AK5" s="273"/>
      <c r="AL5" s="278"/>
      <c r="AM5" s="190"/>
      <c r="AN5" s="266"/>
      <c r="AO5" s="266"/>
      <c r="AP5" s="266"/>
      <c r="AQ5" s="266"/>
      <c r="AR5" s="290"/>
    </row>
    <row r="6" spans="2:44" ht="16.5" customHeight="1" x14ac:dyDescent="0.3">
      <c r="B6" s="114">
        <v>1</v>
      </c>
      <c r="C6" s="114" t="str">
        <f>[1]Summary!$B$7</f>
        <v>Cortex-M3</v>
      </c>
      <c r="D6" s="114" t="str">
        <f>[1]Summary!$C$7</f>
        <v>최호윤 수석</v>
      </c>
      <c r="E6" s="114" t="str">
        <f>[1]Summary!$D$7</f>
        <v>조성엽 책임</v>
      </c>
      <c r="F6" s="286"/>
      <c r="G6" s="114">
        <v>10</v>
      </c>
      <c r="H6" s="114">
        <v>10</v>
      </c>
      <c r="I6" s="114">
        <v>12</v>
      </c>
      <c r="J6" s="114">
        <v>5</v>
      </c>
      <c r="K6" s="114">
        <f>[1]Summary!$I$7</f>
        <v>0</v>
      </c>
      <c r="L6" s="115">
        <f>[1]Summary!$J$7</f>
        <v>0</v>
      </c>
      <c r="M6" s="116" t="str">
        <f>[1]Summary!$K$7</f>
        <v>-</v>
      </c>
      <c r="N6" s="116">
        <f>[1]Summary!$L$7</f>
        <v>0</v>
      </c>
      <c r="O6" s="116">
        <f>[1]Summary!$M$7</f>
        <v>0</v>
      </c>
      <c r="P6" s="114" t="str">
        <f>[1]Summary!$N$7</f>
        <v>-</v>
      </c>
      <c r="Q6" s="114">
        <f>G6+I6+K6</f>
        <v>22</v>
      </c>
      <c r="R6" s="115">
        <f>H6+J6+L6</f>
        <v>15</v>
      </c>
      <c r="S6" s="116">
        <f>R6/Q6</f>
        <v>0.68181818181818177</v>
      </c>
      <c r="T6" s="115"/>
      <c r="U6" s="286"/>
      <c r="V6" s="114">
        <v>30</v>
      </c>
      <c r="W6" s="115">
        <v>26</v>
      </c>
      <c r="X6" s="116">
        <f>W6/V6</f>
        <v>0.8666666666666667</v>
      </c>
      <c r="Y6" s="115"/>
      <c r="Z6" s="114" t="str">
        <f>[1]Summary!$R$7</f>
        <v>-</v>
      </c>
      <c r="AA6" s="286"/>
      <c r="AB6" s="114">
        <v>20</v>
      </c>
      <c r="AC6" s="115">
        <v>10</v>
      </c>
      <c r="AD6" s="116">
        <f>AC6/AB6</f>
        <v>0.5</v>
      </c>
      <c r="AE6" s="114" t="str">
        <f>[1]Summary!$V$7</f>
        <v>-</v>
      </c>
      <c r="AF6" s="115"/>
      <c r="AG6" s="286"/>
      <c r="AH6" s="114">
        <v>20</v>
      </c>
      <c r="AI6" s="115">
        <v>5</v>
      </c>
      <c r="AJ6" s="116">
        <f>AI6/AH6</f>
        <v>0.25</v>
      </c>
      <c r="AK6" s="115"/>
      <c r="AL6" s="114" t="str">
        <f>[1]Summary!$Z$7</f>
        <v>-</v>
      </c>
      <c r="AM6" s="174"/>
      <c r="AN6" s="143">
        <f>[1]Summary!$AA$7</f>
        <v>42138</v>
      </c>
      <c r="AO6" s="114" t="str">
        <f>[1]Summary!$AB$7</f>
        <v>?</v>
      </c>
      <c r="AP6" s="114" t="str">
        <f>[1]Summary!$AC$7</f>
        <v>?</v>
      </c>
      <c r="AQ6" s="114" t="str">
        <f>[1]Summary!$AD$7</f>
        <v>?</v>
      </c>
      <c r="AR6" s="117" t="str">
        <f>[1]Summary!$AE$7</f>
        <v xml:space="preserve">RTL:
POST:
FPGA: </v>
      </c>
    </row>
    <row r="7" spans="2:44" ht="16.5" customHeight="1" x14ac:dyDescent="0.3">
      <c r="B7" s="196">
        <v>2</v>
      </c>
      <c r="C7" s="196" t="str">
        <f>[2]Summary!$B$7</f>
        <v>HCT</v>
      </c>
      <c r="D7" s="196" t="str">
        <f>[2]Summary!$C$7</f>
        <v>이원규 선임</v>
      </c>
      <c r="E7" s="196" t="str">
        <f>[2]Summary!$D$7</f>
        <v>박재우 책임</v>
      </c>
      <c r="F7" s="286"/>
      <c r="G7" s="196">
        <v>15</v>
      </c>
      <c r="H7" s="196">
        <v>5</v>
      </c>
      <c r="I7" s="196">
        <v>12</v>
      </c>
      <c r="J7" s="196">
        <v>5</v>
      </c>
      <c r="K7" s="196">
        <f>[2]Summary!$I$7</f>
        <v>0</v>
      </c>
      <c r="L7" s="199">
        <f>[2]Summary!$J$7</f>
        <v>0</v>
      </c>
      <c r="M7" s="200" t="str">
        <f>[2]Summary!$K$7</f>
        <v>-</v>
      </c>
      <c r="N7" s="200">
        <f>[2]Summary!$L$7</f>
        <v>0</v>
      </c>
      <c r="O7" s="200">
        <f>[2]Summary!$M$7</f>
        <v>0</v>
      </c>
      <c r="P7" s="196" t="str">
        <f>[2]Summary!$N$7</f>
        <v>-</v>
      </c>
      <c r="Q7" s="196">
        <f t="shared" ref="Q7:R33" si="0">G7+I7+K7</f>
        <v>27</v>
      </c>
      <c r="R7" s="115">
        <f t="shared" si="0"/>
        <v>10</v>
      </c>
      <c r="S7" s="200">
        <f t="shared" ref="S7:S33" si="1">R7/Q7</f>
        <v>0.37037037037037035</v>
      </c>
      <c r="T7" s="115"/>
      <c r="U7" s="286"/>
      <c r="V7" s="196">
        <v>40</v>
      </c>
      <c r="W7" s="199">
        <v>25</v>
      </c>
      <c r="X7" s="200">
        <f t="shared" ref="X7:X33" si="2">W7/V7</f>
        <v>0.625</v>
      </c>
      <c r="Y7" s="115"/>
      <c r="Z7" s="196" t="str">
        <f>[2]Summary!$R$7</f>
        <v>-</v>
      </c>
      <c r="AA7" s="286"/>
      <c r="AB7" s="196">
        <v>30</v>
      </c>
      <c r="AC7" s="199">
        <v>20</v>
      </c>
      <c r="AD7" s="200">
        <f t="shared" ref="AD7:AD33" si="3">AC7/AB7</f>
        <v>0.66666666666666663</v>
      </c>
      <c r="AE7" s="196" t="str">
        <f>[2]Summary!$V$7</f>
        <v>-</v>
      </c>
      <c r="AF7" s="115"/>
      <c r="AG7" s="286"/>
      <c r="AH7" s="196">
        <v>30</v>
      </c>
      <c r="AI7" s="199">
        <v>2</v>
      </c>
      <c r="AJ7" s="200">
        <f t="shared" ref="AJ7:AJ33" si="4">AI7/AH7</f>
        <v>6.6666666666666666E-2</v>
      </c>
      <c r="AK7" s="115"/>
      <c r="AL7" s="196" t="str">
        <f>[2]Summary!$Z$7</f>
        <v>-</v>
      </c>
      <c r="AM7" s="174"/>
      <c r="AN7" s="201">
        <f>[2]Summary!$AA$7</f>
        <v>42138</v>
      </c>
      <c r="AO7" s="196" t="str">
        <f>[2]Summary!$AB$7</f>
        <v>?</v>
      </c>
      <c r="AP7" s="196" t="str">
        <f>[2]Summary!$AC$7</f>
        <v>?</v>
      </c>
      <c r="AQ7" s="196" t="str">
        <f>[2]Summary!$AD$7</f>
        <v>?</v>
      </c>
      <c r="AR7" s="202" t="str">
        <f>[2]Summary!$AE$7</f>
        <v xml:space="preserve">RTL:
POST:
FPGA: </v>
      </c>
    </row>
    <row r="8" spans="2:44" ht="16.5" customHeight="1" x14ac:dyDescent="0.3">
      <c r="B8" s="114">
        <v>3</v>
      </c>
      <c r="C8" s="114" t="str">
        <f>[3]Summary!$B$7</f>
        <v>FCT</v>
      </c>
      <c r="D8" s="114" t="str">
        <f>[3]Summary!$C$7</f>
        <v>천동엽 책임</v>
      </c>
      <c r="E8" s="114" t="str">
        <f>[3]Summary!$D$7</f>
        <v>조성엽 책임</v>
      </c>
      <c r="F8" s="286"/>
      <c r="G8" s="114">
        <v>20</v>
      </c>
      <c r="H8" s="114">
        <v>18</v>
      </c>
      <c r="I8" s="114">
        <v>20</v>
      </c>
      <c r="J8" s="114">
        <v>15</v>
      </c>
      <c r="K8" s="114">
        <f>[3]Summary!$I$7</f>
        <v>0</v>
      </c>
      <c r="L8" s="115">
        <f>[3]Summary!$J$7</f>
        <v>0</v>
      </c>
      <c r="M8" s="116" t="str">
        <f>[3]Summary!$K$7</f>
        <v>-</v>
      </c>
      <c r="N8" s="116">
        <f>[3]Summary!$L$7</f>
        <v>0</v>
      </c>
      <c r="O8" s="116">
        <f>[3]Summary!$M$7</f>
        <v>0</v>
      </c>
      <c r="P8" s="114" t="str">
        <f>[3]Summary!$N$7</f>
        <v>-</v>
      </c>
      <c r="Q8" s="114">
        <f t="shared" si="0"/>
        <v>40</v>
      </c>
      <c r="R8" s="115">
        <f t="shared" si="0"/>
        <v>33</v>
      </c>
      <c r="S8" s="116">
        <f t="shared" si="1"/>
        <v>0.82499999999999996</v>
      </c>
      <c r="T8" s="115"/>
      <c r="U8" s="286"/>
      <c r="V8" s="114">
        <v>30</v>
      </c>
      <c r="W8" s="115">
        <v>30</v>
      </c>
      <c r="X8" s="116">
        <f t="shared" si="2"/>
        <v>1</v>
      </c>
      <c r="Y8" s="115"/>
      <c r="Z8" s="114" t="str">
        <f>[3]Summary!$R$7</f>
        <v>-</v>
      </c>
      <c r="AA8" s="286"/>
      <c r="AB8" s="114">
        <v>30</v>
      </c>
      <c r="AC8" s="115">
        <v>25</v>
      </c>
      <c r="AD8" s="116">
        <f t="shared" si="3"/>
        <v>0.83333333333333337</v>
      </c>
      <c r="AE8" s="114" t="str">
        <f>[3]Summary!$V$7</f>
        <v>-</v>
      </c>
      <c r="AF8" s="115"/>
      <c r="AG8" s="286"/>
      <c r="AH8" s="114">
        <v>30</v>
      </c>
      <c r="AI8" s="115">
        <v>3</v>
      </c>
      <c r="AJ8" s="116">
        <f t="shared" si="4"/>
        <v>0.1</v>
      </c>
      <c r="AK8" s="115"/>
      <c r="AL8" s="114" t="str">
        <f>[3]Summary!$Z$7</f>
        <v>-</v>
      </c>
      <c r="AM8" s="174"/>
      <c r="AN8" s="143">
        <f>[3]Summary!$AA$7</f>
        <v>42138</v>
      </c>
      <c r="AO8" s="114" t="str">
        <f>[3]Summary!$AB$7</f>
        <v>?</v>
      </c>
      <c r="AP8" s="114" t="str">
        <f>[3]Summary!$AC$7</f>
        <v>?</v>
      </c>
      <c r="AQ8" s="114" t="str">
        <f>[3]Summary!$AD$7</f>
        <v>?</v>
      </c>
      <c r="AR8" s="117" t="str">
        <f>[3]Summary!$AE$7</f>
        <v xml:space="preserve">RTL:
POST:
FPGA: </v>
      </c>
    </row>
    <row r="9" spans="2:44" ht="16.5" customHeight="1" x14ac:dyDescent="0.3">
      <c r="B9" s="196">
        <v>4</v>
      </c>
      <c r="C9" s="196" t="str">
        <f>[4]Summary!$B$7</f>
        <v>Buffer Manager</v>
      </c>
      <c r="D9" s="196" t="str">
        <f>[4]Summary!$C$7</f>
        <v>지대근 책임</v>
      </c>
      <c r="E9" s="196" t="str">
        <f>[4]Summary!$D$7</f>
        <v>조성엽 책임</v>
      </c>
      <c r="F9" s="286"/>
      <c r="G9" s="196">
        <v>15</v>
      </c>
      <c r="H9" s="196">
        <v>10</v>
      </c>
      <c r="I9" s="196">
        <v>30</v>
      </c>
      <c r="J9" s="196">
        <v>20</v>
      </c>
      <c r="K9" s="196">
        <f>[4]Summary!$I$7</f>
        <v>0</v>
      </c>
      <c r="L9" s="199">
        <f>[4]Summary!$J$7</f>
        <v>0</v>
      </c>
      <c r="M9" s="200" t="str">
        <f>[4]Summary!$K$7</f>
        <v>-</v>
      </c>
      <c r="N9" s="200">
        <f>[4]Summary!$L$7</f>
        <v>0</v>
      </c>
      <c r="O9" s="200">
        <f>[4]Summary!$M$7</f>
        <v>0</v>
      </c>
      <c r="P9" s="196" t="str">
        <f>[4]Summary!$N$7</f>
        <v>-</v>
      </c>
      <c r="Q9" s="196">
        <f t="shared" si="0"/>
        <v>45</v>
      </c>
      <c r="R9" s="115">
        <f t="shared" si="0"/>
        <v>30</v>
      </c>
      <c r="S9" s="200">
        <f t="shared" si="1"/>
        <v>0.66666666666666663</v>
      </c>
      <c r="T9" s="115"/>
      <c r="U9" s="286"/>
      <c r="V9" s="196">
        <v>20</v>
      </c>
      <c r="W9" s="199">
        <v>20</v>
      </c>
      <c r="X9" s="200">
        <f t="shared" si="2"/>
        <v>1</v>
      </c>
      <c r="Y9" s="115"/>
      <c r="Z9" s="196" t="str">
        <f>[4]Summary!$R$7</f>
        <v>-</v>
      </c>
      <c r="AA9" s="286"/>
      <c r="AB9" s="196">
        <v>40</v>
      </c>
      <c r="AC9" s="199">
        <v>30</v>
      </c>
      <c r="AD9" s="200">
        <f t="shared" si="3"/>
        <v>0.75</v>
      </c>
      <c r="AE9" s="196" t="str">
        <f>[4]Summary!$V$7</f>
        <v>-</v>
      </c>
      <c r="AF9" s="115"/>
      <c r="AG9" s="286"/>
      <c r="AH9" s="196">
        <v>30</v>
      </c>
      <c r="AI9" s="199">
        <v>2</v>
      </c>
      <c r="AJ9" s="200">
        <f t="shared" si="4"/>
        <v>6.6666666666666666E-2</v>
      </c>
      <c r="AK9" s="115"/>
      <c r="AL9" s="196" t="str">
        <f>[4]Summary!$Z$7</f>
        <v>-</v>
      </c>
      <c r="AM9" s="174"/>
      <c r="AN9" s="201">
        <f>[4]Summary!$AA$7</f>
        <v>42138</v>
      </c>
      <c r="AO9" s="196" t="str">
        <f>[4]Summary!$AB$7</f>
        <v>?</v>
      </c>
      <c r="AP9" s="196" t="str">
        <f>[4]Summary!$AC$7</f>
        <v>?</v>
      </c>
      <c r="AQ9" s="196" t="str">
        <f>[4]Summary!$AD$7</f>
        <v>?</v>
      </c>
      <c r="AR9" s="202" t="str">
        <f>[4]Summary!$AE$7</f>
        <v xml:space="preserve">RTL:
POST:
FPGA: </v>
      </c>
    </row>
    <row r="10" spans="2:44" ht="16.5" customHeight="1" x14ac:dyDescent="0.3">
      <c r="B10" s="114">
        <v>5</v>
      </c>
      <c r="C10" s="114" t="str">
        <f>[5]Summary!$B$7</f>
        <v>Search Engine</v>
      </c>
      <c r="D10" s="114" t="str">
        <f>[5]Summary!$C$7</f>
        <v>김현욱 선임</v>
      </c>
      <c r="E10" s="114" t="str">
        <f>[5]Summary!$D$7</f>
        <v>김현욱 선임</v>
      </c>
      <c r="F10" s="286"/>
      <c r="G10" s="114">
        <v>20</v>
      </c>
      <c r="H10" s="114">
        <v>16</v>
      </c>
      <c r="I10" s="114">
        <v>15</v>
      </c>
      <c r="J10" s="114">
        <v>10</v>
      </c>
      <c r="K10" s="114">
        <f>[5]Summary!$I$7</f>
        <v>0</v>
      </c>
      <c r="L10" s="115">
        <f>[5]Summary!$J$7</f>
        <v>0</v>
      </c>
      <c r="M10" s="116" t="str">
        <f>[5]Summary!$K$7</f>
        <v>-</v>
      </c>
      <c r="N10" s="116">
        <f>[5]Summary!$L$7</f>
        <v>0</v>
      </c>
      <c r="O10" s="116">
        <f>[5]Summary!$M$7</f>
        <v>0</v>
      </c>
      <c r="P10" s="114" t="str">
        <f>[5]Summary!$N$7</f>
        <v>-</v>
      </c>
      <c r="Q10" s="114">
        <f t="shared" si="0"/>
        <v>35</v>
      </c>
      <c r="R10" s="115">
        <f t="shared" si="0"/>
        <v>26</v>
      </c>
      <c r="S10" s="116">
        <f t="shared" si="1"/>
        <v>0.74285714285714288</v>
      </c>
      <c r="T10" s="115"/>
      <c r="U10" s="286"/>
      <c r="V10" s="114">
        <v>20</v>
      </c>
      <c r="W10" s="115">
        <v>20</v>
      </c>
      <c r="X10" s="116">
        <f t="shared" si="2"/>
        <v>1</v>
      </c>
      <c r="Y10" s="115"/>
      <c r="Z10" s="114" t="str">
        <f>[5]Summary!$R$7</f>
        <v>-</v>
      </c>
      <c r="AA10" s="286"/>
      <c r="AB10" s="114">
        <v>20</v>
      </c>
      <c r="AC10" s="115">
        <v>15</v>
      </c>
      <c r="AD10" s="116">
        <f t="shared" si="3"/>
        <v>0.75</v>
      </c>
      <c r="AE10" s="114" t="str">
        <f>[5]Summary!$V$7</f>
        <v>-</v>
      </c>
      <c r="AF10" s="115"/>
      <c r="AG10" s="286"/>
      <c r="AH10" s="114">
        <v>30</v>
      </c>
      <c r="AI10" s="115">
        <v>2</v>
      </c>
      <c r="AJ10" s="116">
        <f t="shared" si="4"/>
        <v>6.6666666666666666E-2</v>
      </c>
      <c r="AK10" s="115"/>
      <c r="AL10" s="114" t="str">
        <f>[5]Summary!$Z$7</f>
        <v>-</v>
      </c>
      <c r="AM10" s="174"/>
      <c r="AN10" s="143">
        <f>[5]Summary!$AA$7</f>
        <v>42138</v>
      </c>
      <c r="AO10" s="114" t="str">
        <f>[5]Summary!$AB$7</f>
        <v>?</v>
      </c>
      <c r="AP10" s="114" t="str">
        <f>[5]Summary!$AC$7</f>
        <v>?</v>
      </c>
      <c r="AQ10" s="114" t="str">
        <f>[5]Summary!$AD$7</f>
        <v>?</v>
      </c>
      <c r="AR10" s="117" t="str">
        <f>[5]Summary!$AE$7</f>
        <v xml:space="preserve">RTL:
POST:
FPGA: </v>
      </c>
    </row>
    <row r="11" spans="2:44" ht="16.5" customHeight="1" x14ac:dyDescent="0.3">
      <c r="B11" s="196">
        <v>6</v>
      </c>
      <c r="C11" s="196" t="str">
        <f>[6]Summary!$B$7</f>
        <v>MTSE</v>
      </c>
      <c r="D11" s="196" t="str">
        <f>[6]Summary!$C$7</f>
        <v>김현욱 선임</v>
      </c>
      <c r="E11" s="196" t="str">
        <f>[6]Summary!$D$7</f>
        <v>김현욱 선임</v>
      </c>
      <c r="F11" s="286"/>
      <c r="G11" s="196">
        <v>15</v>
      </c>
      <c r="H11" s="196">
        <v>14</v>
      </c>
      <c r="I11" s="196">
        <v>20</v>
      </c>
      <c r="J11" s="196">
        <v>15</v>
      </c>
      <c r="K11" s="196">
        <f>[6]Summary!$I$7</f>
        <v>0</v>
      </c>
      <c r="L11" s="199">
        <f>[6]Summary!$J$7</f>
        <v>0</v>
      </c>
      <c r="M11" s="200" t="str">
        <f>[6]Summary!$K$7</f>
        <v>-</v>
      </c>
      <c r="N11" s="200">
        <f>[6]Summary!$L$7</f>
        <v>0</v>
      </c>
      <c r="O11" s="200">
        <f>[6]Summary!$M$7</f>
        <v>0</v>
      </c>
      <c r="P11" s="196" t="str">
        <f>[6]Summary!$N$7</f>
        <v>-</v>
      </c>
      <c r="Q11" s="196">
        <f t="shared" si="0"/>
        <v>35</v>
      </c>
      <c r="R11" s="115">
        <f t="shared" si="0"/>
        <v>29</v>
      </c>
      <c r="S11" s="200">
        <f t="shared" si="1"/>
        <v>0.82857142857142863</v>
      </c>
      <c r="T11" s="115"/>
      <c r="U11" s="286"/>
      <c r="V11" s="196">
        <v>30</v>
      </c>
      <c r="W11" s="199">
        <v>25</v>
      </c>
      <c r="X11" s="200">
        <f t="shared" si="2"/>
        <v>0.83333333333333337</v>
      </c>
      <c r="Y11" s="115"/>
      <c r="Z11" s="196" t="str">
        <f>[6]Summary!$R$7</f>
        <v>-</v>
      </c>
      <c r="AA11" s="286"/>
      <c r="AB11" s="196">
        <v>20</v>
      </c>
      <c r="AC11" s="199">
        <v>15</v>
      </c>
      <c r="AD11" s="200">
        <f t="shared" si="3"/>
        <v>0.75</v>
      </c>
      <c r="AE11" s="196" t="str">
        <f>[6]Summary!$V$7</f>
        <v>-</v>
      </c>
      <c r="AF11" s="115"/>
      <c r="AG11" s="286"/>
      <c r="AH11" s="196">
        <v>30</v>
      </c>
      <c r="AI11" s="199">
        <v>4</v>
      </c>
      <c r="AJ11" s="200">
        <f t="shared" si="4"/>
        <v>0.13333333333333333</v>
      </c>
      <c r="AK11" s="115"/>
      <c r="AL11" s="196" t="str">
        <f>[6]Summary!$Z$7</f>
        <v>-</v>
      </c>
      <c r="AM11" s="174"/>
      <c r="AN11" s="201">
        <f>[6]Summary!$AA$7</f>
        <v>42138</v>
      </c>
      <c r="AO11" s="196" t="str">
        <f>[6]Summary!$AB$7</f>
        <v>?</v>
      </c>
      <c r="AP11" s="196" t="str">
        <f>[6]Summary!$AC$7</f>
        <v>?</v>
      </c>
      <c r="AQ11" s="196" t="str">
        <f>[6]Summary!$AD$7</f>
        <v>?</v>
      </c>
      <c r="AR11" s="202" t="str">
        <f>[6]Summary!$AE$7</f>
        <v xml:space="preserve">RTL:
POST:
FPGA: </v>
      </c>
    </row>
    <row r="12" spans="2:44" ht="16.5" customHeight="1" x14ac:dyDescent="0.3">
      <c r="B12" s="114">
        <v>7</v>
      </c>
      <c r="C12" s="114" t="str">
        <f>[7]Summary!$B$7</f>
        <v>System Memory</v>
      </c>
      <c r="D12" s="114" t="str">
        <f>[7]Summary!$C$7</f>
        <v>김현욱 선임</v>
      </c>
      <c r="E12" s="114" t="str">
        <f>[7]Summary!$D$7</f>
        <v>김현욱 선임</v>
      </c>
      <c r="F12" s="286"/>
      <c r="G12" s="114">
        <v>10</v>
      </c>
      <c r="H12" s="114">
        <v>8</v>
      </c>
      <c r="I12" s="114">
        <v>15</v>
      </c>
      <c r="J12" s="114">
        <v>12</v>
      </c>
      <c r="K12" s="114">
        <f>[7]Summary!$I$7</f>
        <v>0</v>
      </c>
      <c r="L12" s="115">
        <f>[7]Summary!$J$7</f>
        <v>0</v>
      </c>
      <c r="M12" s="116" t="str">
        <f>[7]Summary!$K$7</f>
        <v>-</v>
      </c>
      <c r="N12" s="116">
        <f>[7]Summary!$L$7</f>
        <v>0</v>
      </c>
      <c r="O12" s="116">
        <f>[7]Summary!$M$7</f>
        <v>0</v>
      </c>
      <c r="P12" s="114" t="str">
        <f>[7]Summary!$N$7</f>
        <v>-</v>
      </c>
      <c r="Q12" s="114">
        <f t="shared" si="0"/>
        <v>25</v>
      </c>
      <c r="R12" s="115">
        <f t="shared" si="0"/>
        <v>20</v>
      </c>
      <c r="S12" s="116">
        <f t="shared" si="1"/>
        <v>0.8</v>
      </c>
      <c r="T12" s="115"/>
      <c r="U12" s="286"/>
      <c r="V12" s="114">
        <v>30</v>
      </c>
      <c r="W12" s="115">
        <v>20</v>
      </c>
      <c r="X12" s="116">
        <f t="shared" si="2"/>
        <v>0.66666666666666663</v>
      </c>
      <c r="Y12" s="115"/>
      <c r="Z12" s="114" t="str">
        <f>[7]Summary!$R$7</f>
        <v>-</v>
      </c>
      <c r="AA12" s="286"/>
      <c r="AB12" s="114">
        <v>20</v>
      </c>
      <c r="AC12" s="115">
        <v>20</v>
      </c>
      <c r="AD12" s="116">
        <f t="shared" si="3"/>
        <v>1</v>
      </c>
      <c r="AE12" s="114" t="str">
        <f>[7]Summary!$V$7</f>
        <v>-</v>
      </c>
      <c r="AF12" s="115"/>
      <c r="AG12" s="286"/>
      <c r="AH12" s="114">
        <v>20</v>
      </c>
      <c r="AI12" s="115">
        <v>3</v>
      </c>
      <c r="AJ12" s="116">
        <f t="shared" si="4"/>
        <v>0.15</v>
      </c>
      <c r="AK12" s="115"/>
      <c r="AL12" s="114" t="str">
        <f>[7]Summary!$Z$7</f>
        <v>-</v>
      </c>
      <c r="AM12" s="174"/>
      <c r="AN12" s="143">
        <f>[7]Summary!$AA$7</f>
        <v>42138</v>
      </c>
      <c r="AO12" s="114" t="str">
        <f>[7]Summary!$AB$7</f>
        <v>?</v>
      </c>
      <c r="AP12" s="114" t="str">
        <f>[7]Summary!$AC$7</f>
        <v>?</v>
      </c>
      <c r="AQ12" s="114" t="str">
        <f>[7]Summary!$AD$7</f>
        <v>?</v>
      </c>
      <c r="AR12" s="117" t="str">
        <f>[7]Summary!$AE$7</f>
        <v xml:space="preserve">RTL:
POST:
FPGA: </v>
      </c>
    </row>
    <row r="13" spans="2:44" ht="16.5" customHeight="1" x14ac:dyDescent="0.3">
      <c r="B13" s="196">
        <v>8</v>
      </c>
      <c r="C13" s="196" t="str">
        <f>[8]Summary!$B$7</f>
        <v>Data Buffer</v>
      </c>
      <c r="D13" s="196" t="str">
        <f>[8]Summary!$C$7</f>
        <v>김현욱 선임</v>
      </c>
      <c r="E13" s="196" t="str">
        <f>[8]Summary!$D$7</f>
        <v>김현욱 선임</v>
      </c>
      <c r="F13" s="286"/>
      <c r="G13" s="196">
        <v>8</v>
      </c>
      <c r="H13" s="196">
        <v>8</v>
      </c>
      <c r="I13" s="196">
        <v>18</v>
      </c>
      <c r="J13" s="196">
        <v>15</v>
      </c>
      <c r="K13" s="196">
        <f>[8]Summary!$I$7</f>
        <v>0</v>
      </c>
      <c r="L13" s="199">
        <f>[8]Summary!$J$7</f>
        <v>0</v>
      </c>
      <c r="M13" s="200" t="str">
        <f>[8]Summary!$K$7</f>
        <v>-</v>
      </c>
      <c r="N13" s="200">
        <f>[8]Summary!$L$7</f>
        <v>0</v>
      </c>
      <c r="O13" s="200">
        <f>[8]Summary!$M$7</f>
        <v>0</v>
      </c>
      <c r="P13" s="196" t="str">
        <f>[8]Summary!$N$7</f>
        <v>-</v>
      </c>
      <c r="Q13" s="196">
        <f t="shared" si="0"/>
        <v>26</v>
      </c>
      <c r="R13" s="115">
        <f t="shared" si="0"/>
        <v>23</v>
      </c>
      <c r="S13" s="200">
        <f t="shared" si="1"/>
        <v>0.88461538461538458</v>
      </c>
      <c r="T13" s="115"/>
      <c r="U13" s="286"/>
      <c r="V13" s="196">
        <v>40</v>
      </c>
      <c r="W13" s="199">
        <v>35</v>
      </c>
      <c r="X13" s="200">
        <f t="shared" si="2"/>
        <v>0.875</v>
      </c>
      <c r="Y13" s="115"/>
      <c r="Z13" s="196" t="str">
        <f>[8]Summary!$R$7</f>
        <v>-</v>
      </c>
      <c r="AA13" s="286"/>
      <c r="AB13" s="196">
        <v>20</v>
      </c>
      <c r="AC13" s="199">
        <v>18</v>
      </c>
      <c r="AD13" s="200">
        <f t="shared" si="3"/>
        <v>0.9</v>
      </c>
      <c r="AE13" s="196" t="str">
        <f>[8]Summary!$V$7</f>
        <v>-</v>
      </c>
      <c r="AF13" s="115"/>
      <c r="AG13" s="286"/>
      <c r="AH13" s="196">
        <v>20</v>
      </c>
      <c r="AI13" s="199">
        <v>4</v>
      </c>
      <c r="AJ13" s="200">
        <f t="shared" si="4"/>
        <v>0.2</v>
      </c>
      <c r="AK13" s="115"/>
      <c r="AL13" s="196" t="str">
        <f>[8]Summary!$Z$7</f>
        <v>-</v>
      </c>
      <c r="AM13" s="174"/>
      <c r="AN13" s="201">
        <f>[8]Summary!$AA$7</f>
        <v>42138</v>
      </c>
      <c r="AO13" s="196" t="str">
        <f>[8]Summary!$AB$7</f>
        <v>?</v>
      </c>
      <c r="AP13" s="196" t="str">
        <f>[8]Summary!$AC$7</f>
        <v>?</v>
      </c>
      <c r="AQ13" s="196" t="str">
        <f>[8]Summary!$AD$7</f>
        <v>?</v>
      </c>
      <c r="AR13" s="202" t="str">
        <f>[8]Summary!$AE$7</f>
        <v xml:space="preserve">RTL:
POST:
FPGA: </v>
      </c>
    </row>
    <row r="14" spans="2:44" ht="16.5" customHeight="1" x14ac:dyDescent="0.3">
      <c r="B14" s="114">
        <v>9</v>
      </c>
      <c r="C14" s="114" t="str">
        <f>[9]Summary!$B$7</f>
        <v>DMA</v>
      </c>
      <c r="D14" s="114" t="str">
        <f>[9]Summary!$C$7</f>
        <v>김현욱 선임</v>
      </c>
      <c r="E14" s="114" t="str">
        <f>[9]Summary!$D$7</f>
        <v>김현욱 선임</v>
      </c>
      <c r="F14" s="286"/>
      <c r="G14" s="114">
        <v>9</v>
      </c>
      <c r="H14" s="114">
        <v>8</v>
      </c>
      <c r="I14" s="114">
        <v>30</v>
      </c>
      <c r="J14" s="114">
        <v>20</v>
      </c>
      <c r="K14" s="114">
        <f>[9]Summary!$I$7</f>
        <v>0</v>
      </c>
      <c r="L14" s="115">
        <f>[9]Summary!$J$7</f>
        <v>0</v>
      </c>
      <c r="M14" s="116" t="str">
        <f>[9]Summary!$K$7</f>
        <v>-</v>
      </c>
      <c r="N14" s="116">
        <f>[9]Summary!$L$7</f>
        <v>0</v>
      </c>
      <c r="O14" s="116">
        <f>[9]Summary!$M$7</f>
        <v>0</v>
      </c>
      <c r="P14" s="114" t="str">
        <f>[9]Summary!$N$7</f>
        <v>-</v>
      </c>
      <c r="Q14" s="114">
        <f t="shared" si="0"/>
        <v>39</v>
      </c>
      <c r="R14" s="115">
        <f t="shared" si="0"/>
        <v>28</v>
      </c>
      <c r="S14" s="116">
        <f t="shared" si="1"/>
        <v>0.71794871794871795</v>
      </c>
      <c r="T14" s="115"/>
      <c r="U14" s="286"/>
      <c r="V14" s="114">
        <v>50</v>
      </c>
      <c r="W14" s="115">
        <v>40</v>
      </c>
      <c r="X14" s="116">
        <f t="shared" si="2"/>
        <v>0.8</v>
      </c>
      <c r="Y14" s="115"/>
      <c r="Z14" s="114" t="str">
        <f>[9]Summary!$R$7</f>
        <v>-</v>
      </c>
      <c r="AA14" s="286"/>
      <c r="AB14" s="114">
        <v>20</v>
      </c>
      <c r="AC14" s="115">
        <v>20</v>
      </c>
      <c r="AD14" s="116">
        <f t="shared" si="3"/>
        <v>1</v>
      </c>
      <c r="AE14" s="114" t="str">
        <f>[9]Summary!$V$7</f>
        <v>-</v>
      </c>
      <c r="AF14" s="115"/>
      <c r="AG14" s="286"/>
      <c r="AH14" s="114">
        <v>20</v>
      </c>
      <c r="AI14" s="115">
        <v>2</v>
      </c>
      <c r="AJ14" s="116">
        <f t="shared" si="4"/>
        <v>0.1</v>
      </c>
      <c r="AK14" s="115"/>
      <c r="AL14" s="114" t="str">
        <f>[9]Summary!$Z$7</f>
        <v>-</v>
      </c>
      <c r="AM14" s="174"/>
      <c r="AN14" s="143">
        <f>[9]Summary!$AA$7</f>
        <v>42138</v>
      </c>
      <c r="AO14" s="114" t="str">
        <f>[9]Summary!$AB$7</f>
        <v>?</v>
      </c>
      <c r="AP14" s="114" t="str">
        <f>[9]Summary!$AC$7</f>
        <v>?</v>
      </c>
      <c r="AQ14" s="114" t="str">
        <f>[9]Summary!$AD$7</f>
        <v>?</v>
      </c>
      <c r="AR14" s="117" t="str">
        <f>[9]Summary!$AE$7</f>
        <v xml:space="preserve">RTL:
POST:
FPGA: </v>
      </c>
    </row>
    <row r="15" spans="2:44" ht="16.5" customHeight="1" x14ac:dyDescent="0.3">
      <c r="B15" s="196">
        <v>10</v>
      </c>
      <c r="C15" s="196" t="str">
        <f>[10]Summary!$B$7</f>
        <v>Back Bone</v>
      </c>
      <c r="D15" s="196" t="str">
        <f>[10]Summary!$C$7</f>
        <v>최호윤 수석</v>
      </c>
      <c r="E15" s="196" t="str">
        <f>[10]Summary!$D$7</f>
        <v>최호윤 수석</v>
      </c>
      <c r="F15" s="286"/>
      <c r="G15" s="196">
        <v>30</v>
      </c>
      <c r="H15" s="196">
        <v>10</v>
      </c>
      <c r="I15" s="196">
        <v>30</v>
      </c>
      <c r="J15" s="196">
        <v>25</v>
      </c>
      <c r="K15" s="196">
        <f>[10]Summary!$I$7</f>
        <v>0</v>
      </c>
      <c r="L15" s="199">
        <f>[10]Summary!$J$7</f>
        <v>0</v>
      </c>
      <c r="M15" s="200" t="str">
        <f>[10]Summary!$K$7</f>
        <v>-</v>
      </c>
      <c r="N15" s="200">
        <f>[10]Summary!$L$7</f>
        <v>0</v>
      </c>
      <c r="O15" s="200">
        <f>[10]Summary!$M$7</f>
        <v>0</v>
      </c>
      <c r="P15" s="196" t="str">
        <f>[10]Summary!$N$7</f>
        <v>-</v>
      </c>
      <c r="Q15" s="196">
        <f t="shared" si="0"/>
        <v>60</v>
      </c>
      <c r="R15" s="115">
        <f t="shared" si="0"/>
        <v>35</v>
      </c>
      <c r="S15" s="200">
        <f t="shared" si="1"/>
        <v>0.58333333333333337</v>
      </c>
      <c r="T15" s="115"/>
      <c r="U15" s="286"/>
      <c r="V15" s="196">
        <v>20</v>
      </c>
      <c r="W15" s="199">
        <v>20</v>
      </c>
      <c r="X15" s="200">
        <f t="shared" si="2"/>
        <v>1</v>
      </c>
      <c r="Y15" s="115"/>
      <c r="Z15" s="196" t="str">
        <f>[10]Summary!$R$7</f>
        <v>-</v>
      </c>
      <c r="AA15" s="286"/>
      <c r="AB15" s="196">
        <v>20</v>
      </c>
      <c r="AC15" s="199">
        <v>15</v>
      </c>
      <c r="AD15" s="200">
        <f t="shared" si="3"/>
        <v>0.75</v>
      </c>
      <c r="AE15" s="196" t="str">
        <f>[10]Summary!$V$7</f>
        <v>-</v>
      </c>
      <c r="AF15" s="115"/>
      <c r="AG15" s="286"/>
      <c r="AH15" s="196">
        <v>20</v>
      </c>
      <c r="AI15" s="199">
        <v>5</v>
      </c>
      <c r="AJ15" s="200">
        <f t="shared" si="4"/>
        <v>0.25</v>
      </c>
      <c r="AK15" s="115"/>
      <c r="AL15" s="196" t="str">
        <f>[10]Summary!$Z$7</f>
        <v>-</v>
      </c>
      <c r="AM15" s="174"/>
      <c r="AN15" s="201">
        <f>[10]Summary!$AA$7</f>
        <v>42138</v>
      </c>
      <c r="AO15" s="196" t="str">
        <f>[10]Summary!$AB$7</f>
        <v>?</v>
      </c>
      <c r="AP15" s="196" t="str">
        <f>[10]Summary!$AC$7</f>
        <v>?</v>
      </c>
      <c r="AQ15" s="196" t="str">
        <f>[10]Summary!$AD$7</f>
        <v>?</v>
      </c>
      <c r="AR15" s="202" t="str">
        <f>[10]Summary!$AE$7</f>
        <v xml:space="preserve">RTL:
POST:
FPGA: </v>
      </c>
    </row>
    <row r="16" spans="2:44" ht="16.5" customHeight="1" x14ac:dyDescent="0.3">
      <c r="B16" s="114">
        <v>11</v>
      </c>
      <c r="C16" s="114" t="str">
        <f>[11]Summary!$B$7</f>
        <v>System Controller</v>
      </c>
      <c r="D16" s="114" t="str">
        <f>[11]Summary!$C$7</f>
        <v>김정욱 책임</v>
      </c>
      <c r="E16" s="114" t="str">
        <f>[11]Summary!$D$7</f>
        <v>김정욱 책임</v>
      </c>
      <c r="F16" s="286"/>
      <c r="G16" s="114">
        <v>20</v>
      </c>
      <c r="H16" s="114">
        <v>18</v>
      </c>
      <c r="I16" s="114">
        <v>30</v>
      </c>
      <c r="J16" s="114">
        <v>22</v>
      </c>
      <c r="K16" s="114">
        <f>[11]Summary!$I$7</f>
        <v>0</v>
      </c>
      <c r="L16" s="115">
        <f>[11]Summary!$J$7</f>
        <v>0</v>
      </c>
      <c r="M16" s="116" t="str">
        <f>[11]Summary!$K$7</f>
        <v>-</v>
      </c>
      <c r="N16" s="116">
        <f>[11]Summary!$L$7</f>
        <v>0</v>
      </c>
      <c r="O16" s="116">
        <f>[11]Summary!$M$7</f>
        <v>0</v>
      </c>
      <c r="P16" s="114" t="str">
        <f>[11]Summary!$N$7</f>
        <v>-</v>
      </c>
      <c r="Q16" s="114">
        <f t="shared" si="0"/>
        <v>50</v>
      </c>
      <c r="R16" s="115">
        <f t="shared" si="0"/>
        <v>40</v>
      </c>
      <c r="S16" s="116">
        <f t="shared" si="1"/>
        <v>0.8</v>
      </c>
      <c r="T16" s="115"/>
      <c r="U16" s="286"/>
      <c r="V16" s="114">
        <v>30</v>
      </c>
      <c r="W16" s="115">
        <v>15</v>
      </c>
      <c r="X16" s="116">
        <f t="shared" si="2"/>
        <v>0.5</v>
      </c>
      <c r="Y16" s="115"/>
      <c r="Z16" s="114" t="str">
        <f>[11]Summary!$R$7</f>
        <v>-</v>
      </c>
      <c r="AA16" s="286"/>
      <c r="AB16" s="114">
        <v>35</v>
      </c>
      <c r="AC16" s="115">
        <v>30</v>
      </c>
      <c r="AD16" s="116">
        <f t="shared" si="3"/>
        <v>0.8571428571428571</v>
      </c>
      <c r="AE16" s="114" t="str">
        <f>[11]Summary!$V$7</f>
        <v>-</v>
      </c>
      <c r="AF16" s="115"/>
      <c r="AG16" s="286"/>
      <c r="AH16" s="114">
        <v>15</v>
      </c>
      <c r="AI16" s="115">
        <v>2</v>
      </c>
      <c r="AJ16" s="116">
        <f t="shared" si="4"/>
        <v>0.13333333333333333</v>
      </c>
      <c r="AK16" s="115"/>
      <c r="AL16" s="114" t="str">
        <f>[11]Summary!$Z$7</f>
        <v>-</v>
      </c>
      <c r="AM16" s="174"/>
      <c r="AN16" s="143">
        <f>[11]Summary!$AA$7</f>
        <v>42138</v>
      </c>
      <c r="AO16" s="114" t="str">
        <f>[11]Summary!$AB$7</f>
        <v>?</v>
      </c>
      <c r="AP16" s="114" t="str">
        <f>[11]Summary!$AC$7</f>
        <v>?</v>
      </c>
      <c r="AQ16" s="114" t="str">
        <f>[11]Summary!$AD$7</f>
        <v>?</v>
      </c>
      <c r="AR16" s="117" t="str">
        <f>[11]Summary!$AE$7</f>
        <v xml:space="preserve">RTL:
POST:
FPGA: </v>
      </c>
    </row>
    <row r="17" spans="2:44" ht="16.5" customHeight="1" x14ac:dyDescent="0.3">
      <c r="B17" s="196">
        <v>12</v>
      </c>
      <c r="C17" s="196" t="str">
        <f>[12]Summary!$B$7</f>
        <v>PMU</v>
      </c>
      <c r="D17" s="196" t="str">
        <f>[12]Summary!$C$7</f>
        <v>김정욱 책임</v>
      </c>
      <c r="E17" s="196" t="str">
        <f>[12]Summary!$D$7</f>
        <v>김정욱 책임</v>
      </c>
      <c r="F17" s="286"/>
      <c r="G17" s="196">
        <v>15</v>
      </c>
      <c r="H17" s="196">
        <v>14</v>
      </c>
      <c r="I17" s="196">
        <v>30</v>
      </c>
      <c r="J17" s="196">
        <v>25</v>
      </c>
      <c r="K17" s="196">
        <f>[12]Summary!$I$7</f>
        <v>0</v>
      </c>
      <c r="L17" s="199">
        <f>[12]Summary!$J$7</f>
        <v>0</v>
      </c>
      <c r="M17" s="200" t="str">
        <f>[12]Summary!$K$7</f>
        <v>-</v>
      </c>
      <c r="N17" s="200">
        <f>[12]Summary!$L$7</f>
        <v>0</v>
      </c>
      <c r="O17" s="200">
        <f>[12]Summary!$M$7</f>
        <v>0</v>
      </c>
      <c r="P17" s="196" t="str">
        <f>[12]Summary!$N$7</f>
        <v>-</v>
      </c>
      <c r="Q17" s="196">
        <f t="shared" si="0"/>
        <v>45</v>
      </c>
      <c r="R17" s="115">
        <f t="shared" si="0"/>
        <v>39</v>
      </c>
      <c r="S17" s="200">
        <f t="shared" si="1"/>
        <v>0.8666666666666667</v>
      </c>
      <c r="T17" s="115"/>
      <c r="U17" s="286"/>
      <c r="V17" s="196">
        <v>30</v>
      </c>
      <c r="W17" s="199">
        <v>15</v>
      </c>
      <c r="X17" s="200">
        <f t="shared" si="2"/>
        <v>0.5</v>
      </c>
      <c r="Y17" s="115"/>
      <c r="Z17" s="196" t="str">
        <f>[12]Summary!$R$7</f>
        <v>-</v>
      </c>
      <c r="AA17" s="286"/>
      <c r="AB17" s="196">
        <v>30</v>
      </c>
      <c r="AC17" s="199">
        <v>25</v>
      </c>
      <c r="AD17" s="200">
        <f t="shared" si="3"/>
        <v>0.83333333333333337</v>
      </c>
      <c r="AE17" s="196" t="str">
        <f>[12]Summary!$V$7</f>
        <v>-</v>
      </c>
      <c r="AF17" s="115"/>
      <c r="AG17" s="286"/>
      <c r="AH17" s="196">
        <v>20</v>
      </c>
      <c r="AI17" s="199">
        <v>5</v>
      </c>
      <c r="AJ17" s="200">
        <f t="shared" si="4"/>
        <v>0.25</v>
      </c>
      <c r="AK17" s="115"/>
      <c r="AL17" s="196" t="str">
        <f>[12]Summary!$Z$7</f>
        <v>-</v>
      </c>
      <c r="AM17" s="174"/>
      <c r="AN17" s="201">
        <f>[12]Summary!$AA$7</f>
        <v>42138</v>
      </c>
      <c r="AO17" s="196" t="str">
        <f>[12]Summary!$AB$7</f>
        <v>?</v>
      </c>
      <c r="AP17" s="196" t="str">
        <f>[12]Summary!$AC$7</f>
        <v>?</v>
      </c>
      <c r="AQ17" s="196" t="str">
        <f>[12]Summary!$AD$7</f>
        <v>?</v>
      </c>
      <c r="AR17" s="202" t="str">
        <f>[12]Summary!$AE$7</f>
        <v xml:space="preserve">RTL:
POST:
FPGA: </v>
      </c>
    </row>
    <row r="18" spans="2:44" ht="16.5" customHeight="1" x14ac:dyDescent="0.3">
      <c r="B18" s="114">
        <v>13</v>
      </c>
      <c r="C18" s="114" t="str">
        <f>[13]Summary!$B$7</f>
        <v>RPMB</v>
      </c>
      <c r="D18" s="114" t="str">
        <f>[13]Summary!$C$7</f>
        <v>안병욱 선임</v>
      </c>
      <c r="E18" s="114" t="str">
        <f>[13]Summary!$D$7</f>
        <v>안병욱 선임</v>
      </c>
      <c r="F18" s="286"/>
      <c r="G18" s="114">
        <v>20</v>
      </c>
      <c r="H18" s="114">
        <v>18</v>
      </c>
      <c r="I18" s="114">
        <v>35</v>
      </c>
      <c r="J18" s="114">
        <v>23</v>
      </c>
      <c r="K18" s="114">
        <f>[13]Summary!$I$7</f>
        <v>0</v>
      </c>
      <c r="L18" s="115">
        <f>[13]Summary!$J$7</f>
        <v>0</v>
      </c>
      <c r="M18" s="116" t="str">
        <f>[13]Summary!$K$7</f>
        <v>-</v>
      </c>
      <c r="N18" s="116">
        <f>[13]Summary!$L$7</f>
        <v>0</v>
      </c>
      <c r="O18" s="116">
        <f>[13]Summary!$M$7</f>
        <v>0</v>
      </c>
      <c r="P18" s="114" t="str">
        <f>[13]Summary!$N$7</f>
        <v>-</v>
      </c>
      <c r="Q18" s="114">
        <f t="shared" si="0"/>
        <v>55</v>
      </c>
      <c r="R18" s="115">
        <f t="shared" si="0"/>
        <v>41</v>
      </c>
      <c r="S18" s="116">
        <f t="shared" si="1"/>
        <v>0.74545454545454548</v>
      </c>
      <c r="T18" s="115"/>
      <c r="U18" s="286"/>
      <c r="V18" s="114">
        <v>20</v>
      </c>
      <c r="W18" s="115">
        <v>20</v>
      </c>
      <c r="X18" s="116">
        <f t="shared" si="2"/>
        <v>1</v>
      </c>
      <c r="Y18" s="115"/>
      <c r="Z18" s="114" t="str">
        <f>[13]Summary!$R$7</f>
        <v>-</v>
      </c>
      <c r="AA18" s="286"/>
      <c r="AB18" s="114">
        <v>30</v>
      </c>
      <c r="AC18" s="115">
        <v>25</v>
      </c>
      <c r="AD18" s="116">
        <f t="shared" si="3"/>
        <v>0.83333333333333337</v>
      </c>
      <c r="AE18" s="114" t="str">
        <f>[13]Summary!$V$7</f>
        <v>-</v>
      </c>
      <c r="AF18" s="115"/>
      <c r="AG18" s="286"/>
      <c r="AH18" s="114">
        <v>25</v>
      </c>
      <c r="AI18" s="115">
        <v>2</v>
      </c>
      <c r="AJ18" s="116">
        <f t="shared" si="4"/>
        <v>0.08</v>
      </c>
      <c r="AK18" s="115"/>
      <c r="AL18" s="114" t="str">
        <f>[13]Summary!$Z$7</f>
        <v>-</v>
      </c>
      <c r="AM18" s="174"/>
      <c r="AN18" s="143">
        <f>[13]Summary!$AA$7</f>
        <v>42138</v>
      </c>
      <c r="AO18" s="114" t="str">
        <f>[13]Summary!$AB$7</f>
        <v>?</v>
      </c>
      <c r="AP18" s="114" t="str">
        <f>[13]Summary!$AC$7</f>
        <v>?</v>
      </c>
      <c r="AQ18" s="114" t="str">
        <f>[13]Summary!$AD$7</f>
        <v>?</v>
      </c>
      <c r="AR18" s="117" t="str">
        <f>[13]Summary!$AE$7</f>
        <v xml:space="preserve">RTL:
POST:
FPGA: </v>
      </c>
    </row>
    <row r="19" spans="2:44" ht="16.5" customHeight="1" x14ac:dyDescent="0.3">
      <c r="B19" s="196">
        <v>14</v>
      </c>
      <c r="C19" s="196" t="str">
        <f>[14]Summary!$B$7</f>
        <v>Mail Box</v>
      </c>
      <c r="D19" s="196" t="str">
        <f>[14]Summary!$C$7</f>
        <v>안병욱 선임</v>
      </c>
      <c r="E19" s="196" t="str">
        <f>[14]Summary!$D$7</f>
        <v>안병욱 선임</v>
      </c>
      <c r="F19" s="286"/>
      <c r="G19" s="196">
        <v>30</v>
      </c>
      <c r="H19" s="196">
        <v>20</v>
      </c>
      <c r="I19" s="196">
        <v>20</v>
      </c>
      <c r="J19" s="196">
        <v>18</v>
      </c>
      <c r="K19" s="196">
        <f>[14]Summary!$I$7</f>
        <v>0</v>
      </c>
      <c r="L19" s="199">
        <f>[14]Summary!$J$7</f>
        <v>0</v>
      </c>
      <c r="M19" s="200" t="str">
        <f>[14]Summary!$K$7</f>
        <v>-</v>
      </c>
      <c r="N19" s="200">
        <f>[14]Summary!$L$7</f>
        <v>0</v>
      </c>
      <c r="O19" s="200">
        <f>[14]Summary!$M$7</f>
        <v>0</v>
      </c>
      <c r="P19" s="196" t="str">
        <f>[14]Summary!$N$7</f>
        <v>-</v>
      </c>
      <c r="Q19" s="196">
        <f t="shared" si="0"/>
        <v>50</v>
      </c>
      <c r="R19" s="115">
        <f t="shared" si="0"/>
        <v>38</v>
      </c>
      <c r="S19" s="200">
        <f t="shared" si="1"/>
        <v>0.76</v>
      </c>
      <c r="T19" s="115"/>
      <c r="U19" s="286"/>
      <c r="V19" s="196">
        <v>35</v>
      </c>
      <c r="W19" s="199">
        <v>30</v>
      </c>
      <c r="X19" s="200">
        <f t="shared" si="2"/>
        <v>0.8571428571428571</v>
      </c>
      <c r="Y19" s="115"/>
      <c r="Z19" s="196" t="str">
        <f>[14]Summary!$R$7</f>
        <v>-</v>
      </c>
      <c r="AA19" s="286"/>
      <c r="AB19" s="196">
        <v>30</v>
      </c>
      <c r="AC19" s="199">
        <v>24</v>
      </c>
      <c r="AD19" s="200">
        <f t="shared" si="3"/>
        <v>0.8</v>
      </c>
      <c r="AE19" s="196" t="str">
        <f>[14]Summary!$V$7</f>
        <v>-</v>
      </c>
      <c r="AF19" s="115"/>
      <c r="AG19" s="286"/>
      <c r="AH19" s="196">
        <v>25</v>
      </c>
      <c r="AI19" s="199">
        <v>5</v>
      </c>
      <c r="AJ19" s="200">
        <f t="shared" si="4"/>
        <v>0.2</v>
      </c>
      <c r="AK19" s="115"/>
      <c r="AL19" s="196" t="str">
        <f>[14]Summary!$Z$7</f>
        <v>-</v>
      </c>
      <c r="AM19" s="174"/>
      <c r="AN19" s="201">
        <f>[14]Summary!$AA$7</f>
        <v>42138</v>
      </c>
      <c r="AO19" s="196" t="str">
        <f>[14]Summary!$AB$7</f>
        <v>?</v>
      </c>
      <c r="AP19" s="196" t="str">
        <f>[14]Summary!$AC$7</f>
        <v>?</v>
      </c>
      <c r="AQ19" s="196" t="str">
        <f>[14]Summary!$AD$7</f>
        <v>?</v>
      </c>
      <c r="AR19" s="202" t="str">
        <f>[14]Summary!$AE$7</f>
        <v xml:space="preserve">RTL:
POST:
FPGA: </v>
      </c>
    </row>
    <row r="20" spans="2:44" ht="16.5" customHeight="1" x14ac:dyDescent="0.3">
      <c r="B20" s="114">
        <v>15</v>
      </c>
      <c r="C20" s="114" t="str">
        <f>[15]Summary!$B$7</f>
        <v>Timer</v>
      </c>
      <c r="D20" s="114" t="str">
        <f>[15]Summary!$C$7</f>
        <v>안병욱 선임</v>
      </c>
      <c r="E20" s="114" t="str">
        <f>[15]Summary!$D$7</f>
        <v>안병욱 선임</v>
      </c>
      <c r="F20" s="286"/>
      <c r="G20" s="114">
        <v>15</v>
      </c>
      <c r="H20" s="114">
        <v>10</v>
      </c>
      <c r="I20" s="114">
        <v>20</v>
      </c>
      <c r="J20" s="114">
        <v>15</v>
      </c>
      <c r="K20" s="114">
        <f>[15]Summary!$I$7</f>
        <v>0</v>
      </c>
      <c r="L20" s="115">
        <f>[15]Summary!$J$7</f>
        <v>0</v>
      </c>
      <c r="M20" s="116" t="str">
        <f>[15]Summary!$K$7</f>
        <v>-</v>
      </c>
      <c r="N20" s="116">
        <f>[15]Summary!$L$7</f>
        <v>0</v>
      </c>
      <c r="O20" s="116">
        <f>[15]Summary!$M$7</f>
        <v>0</v>
      </c>
      <c r="P20" s="114" t="str">
        <f>[15]Summary!$N$7</f>
        <v>-</v>
      </c>
      <c r="Q20" s="114">
        <f t="shared" si="0"/>
        <v>35</v>
      </c>
      <c r="R20" s="115">
        <f t="shared" si="0"/>
        <v>25</v>
      </c>
      <c r="S20" s="116">
        <f t="shared" si="1"/>
        <v>0.7142857142857143</v>
      </c>
      <c r="T20" s="115"/>
      <c r="U20" s="286"/>
      <c r="V20" s="114">
        <v>35</v>
      </c>
      <c r="W20" s="115">
        <v>30</v>
      </c>
      <c r="X20" s="116">
        <f t="shared" si="2"/>
        <v>0.8571428571428571</v>
      </c>
      <c r="Y20" s="115"/>
      <c r="Z20" s="114" t="str">
        <f>[15]Summary!$R$7</f>
        <v>-</v>
      </c>
      <c r="AA20" s="286"/>
      <c r="AB20" s="114">
        <v>30</v>
      </c>
      <c r="AC20" s="115">
        <v>28</v>
      </c>
      <c r="AD20" s="116">
        <f t="shared" si="3"/>
        <v>0.93333333333333335</v>
      </c>
      <c r="AE20" s="114" t="str">
        <f>[15]Summary!$V$7</f>
        <v>-</v>
      </c>
      <c r="AF20" s="115"/>
      <c r="AG20" s="286"/>
      <c r="AH20" s="114">
        <v>25</v>
      </c>
      <c r="AI20" s="115">
        <v>10</v>
      </c>
      <c r="AJ20" s="116">
        <f t="shared" si="4"/>
        <v>0.4</v>
      </c>
      <c r="AK20" s="115"/>
      <c r="AL20" s="114" t="str">
        <f>[15]Summary!$Z$7</f>
        <v>-</v>
      </c>
      <c r="AM20" s="174"/>
      <c r="AN20" s="143">
        <f>[15]Summary!$AA$7</f>
        <v>42138</v>
      </c>
      <c r="AO20" s="114" t="str">
        <f>[15]Summary!$AB$7</f>
        <v>?</v>
      </c>
      <c r="AP20" s="114" t="str">
        <f>[15]Summary!$AC$7</f>
        <v>?</v>
      </c>
      <c r="AQ20" s="114" t="str">
        <f>[15]Summary!$AD$7</f>
        <v>?</v>
      </c>
      <c r="AR20" s="117" t="str">
        <f>[15]Summary!$AE$7</f>
        <v xml:space="preserve">RTL:
POST:
FPGA: </v>
      </c>
    </row>
    <row r="21" spans="2:44" ht="16.5" customHeight="1" x14ac:dyDescent="0.3">
      <c r="B21" s="196">
        <v>16</v>
      </c>
      <c r="C21" s="196" t="str">
        <f>[16]Summary!$B$7</f>
        <v>WDT</v>
      </c>
      <c r="D21" s="196" t="str">
        <f>[16]Summary!$C$7</f>
        <v>안병욱 선임</v>
      </c>
      <c r="E21" s="196" t="str">
        <f>[16]Summary!$D$7</f>
        <v>안병욱 선임</v>
      </c>
      <c r="F21" s="286"/>
      <c r="G21" s="196">
        <v>18</v>
      </c>
      <c r="H21" s="196">
        <v>10</v>
      </c>
      <c r="I21" s="196">
        <v>20</v>
      </c>
      <c r="J21" s="196">
        <v>16</v>
      </c>
      <c r="K21" s="196">
        <f>[16]Summary!$I$7</f>
        <v>0</v>
      </c>
      <c r="L21" s="199">
        <f>[16]Summary!$J$7</f>
        <v>0</v>
      </c>
      <c r="M21" s="200" t="str">
        <f>[16]Summary!$K$7</f>
        <v>-</v>
      </c>
      <c r="N21" s="200">
        <f>[16]Summary!$L$7</f>
        <v>0</v>
      </c>
      <c r="O21" s="200">
        <f>[16]Summary!$M$7</f>
        <v>0</v>
      </c>
      <c r="P21" s="196" t="str">
        <f>[16]Summary!$N$7</f>
        <v>-</v>
      </c>
      <c r="Q21" s="196">
        <f t="shared" si="0"/>
        <v>38</v>
      </c>
      <c r="R21" s="115">
        <f t="shared" si="0"/>
        <v>26</v>
      </c>
      <c r="S21" s="200">
        <f t="shared" si="1"/>
        <v>0.68421052631578949</v>
      </c>
      <c r="T21" s="115"/>
      <c r="U21" s="286"/>
      <c r="V21" s="196">
        <v>35</v>
      </c>
      <c r="W21" s="199">
        <v>30</v>
      </c>
      <c r="X21" s="200">
        <f t="shared" si="2"/>
        <v>0.8571428571428571</v>
      </c>
      <c r="Y21" s="115"/>
      <c r="Z21" s="196" t="str">
        <f>[16]Summary!$R$7</f>
        <v>-</v>
      </c>
      <c r="AA21" s="286"/>
      <c r="AB21" s="196">
        <v>40</v>
      </c>
      <c r="AC21" s="199">
        <v>32</v>
      </c>
      <c r="AD21" s="200">
        <f t="shared" si="3"/>
        <v>0.8</v>
      </c>
      <c r="AE21" s="196" t="str">
        <f>[16]Summary!$V$7</f>
        <v>-</v>
      </c>
      <c r="AF21" s="115"/>
      <c r="AG21" s="286"/>
      <c r="AH21" s="196">
        <v>20</v>
      </c>
      <c r="AI21" s="199">
        <v>2</v>
      </c>
      <c r="AJ21" s="200">
        <f t="shared" si="4"/>
        <v>0.1</v>
      </c>
      <c r="AK21" s="115"/>
      <c r="AL21" s="196" t="str">
        <f>[16]Summary!$Z$7</f>
        <v>-</v>
      </c>
      <c r="AM21" s="174"/>
      <c r="AN21" s="201">
        <f>[16]Summary!$AA$7</f>
        <v>42138</v>
      </c>
      <c r="AO21" s="196" t="str">
        <f>[16]Summary!$AB$7</f>
        <v>?</v>
      </c>
      <c r="AP21" s="196" t="str">
        <f>[16]Summary!$AC$7</f>
        <v>?</v>
      </c>
      <c r="AQ21" s="196" t="str">
        <f>[16]Summary!$AD$7</f>
        <v>?</v>
      </c>
      <c r="AR21" s="202" t="str">
        <f>[16]Summary!$AE$7</f>
        <v xml:space="preserve">RTL:
POST:
FPGA: </v>
      </c>
    </row>
    <row r="22" spans="2:44" ht="16.5" customHeight="1" x14ac:dyDescent="0.3">
      <c r="B22" s="114">
        <v>17</v>
      </c>
      <c r="C22" s="114" t="str">
        <f>[17]Summary!$B$7</f>
        <v>UART</v>
      </c>
      <c r="D22" s="114" t="str">
        <f>[17]Summary!$C$7</f>
        <v>안병욱 선임</v>
      </c>
      <c r="E22" s="114" t="str">
        <f>[17]Summary!$D$7</f>
        <v>안병욱 선임</v>
      </c>
      <c r="F22" s="286"/>
      <c r="G22" s="114">
        <v>17</v>
      </c>
      <c r="H22" s="114">
        <v>15</v>
      </c>
      <c r="I22" s="114">
        <v>25</v>
      </c>
      <c r="J22" s="114">
        <v>20</v>
      </c>
      <c r="K22" s="114">
        <f>[17]Summary!$I$7</f>
        <v>0</v>
      </c>
      <c r="L22" s="115">
        <f>[17]Summary!$J$7</f>
        <v>0</v>
      </c>
      <c r="M22" s="116" t="str">
        <f>[17]Summary!$K$7</f>
        <v>-</v>
      </c>
      <c r="N22" s="116">
        <f>[17]Summary!$L$7</f>
        <v>0</v>
      </c>
      <c r="O22" s="116">
        <f>[17]Summary!$M$7</f>
        <v>0</v>
      </c>
      <c r="P22" s="114" t="str">
        <f>[17]Summary!$N$7</f>
        <v>-</v>
      </c>
      <c r="Q22" s="114">
        <f t="shared" si="0"/>
        <v>42</v>
      </c>
      <c r="R22" s="115">
        <f t="shared" si="0"/>
        <v>35</v>
      </c>
      <c r="S22" s="116">
        <f t="shared" si="1"/>
        <v>0.83333333333333337</v>
      </c>
      <c r="T22" s="115"/>
      <c r="U22" s="286"/>
      <c r="V22" s="114">
        <v>25</v>
      </c>
      <c r="W22" s="115">
        <v>30</v>
      </c>
      <c r="X22" s="116">
        <f t="shared" si="2"/>
        <v>1.2</v>
      </c>
      <c r="Y22" s="115"/>
      <c r="Z22" s="114" t="str">
        <f>[17]Summary!$R$7</f>
        <v>-</v>
      </c>
      <c r="AA22" s="286"/>
      <c r="AB22" s="114">
        <v>25</v>
      </c>
      <c r="AC22" s="115">
        <v>20</v>
      </c>
      <c r="AD22" s="116">
        <f t="shared" si="3"/>
        <v>0.8</v>
      </c>
      <c r="AE22" s="114" t="str">
        <f>[17]Summary!$V$7</f>
        <v>-</v>
      </c>
      <c r="AF22" s="115"/>
      <c r="AG22" s="286"/>
      <c r="AH22" s="114">
        <v>30</v>
      </c>
      <c r="AI22" s="115">
        <v>2</v>
      </c>
      <c r="AJ22" s="116">
        <f t="shared" si="4"/>
        <v>6.6666666666666666E-2</v>
      </c>
      <c r="AK22" s="115"/>
      <c r="AL22" s="114" t="str">
        <f>[17]Summary!$Z$7</f>
        <v>-</v>
      </c>
      <c r="AM22" s="174"/>
      <c r="AN22" s="143">
        <f>[17]Summary!$AA$7</f>
        <v>42138</v>
      </c>
      <c r="AO22" s="114" t="str">
        <f>[17]Summary!$AB$7</f>
        <v>?</v>
      </c>
      <c r="AP22" s="114" t="str">
        <f>[17]Summary!$AC$7</f>
        <v>?</v>
      </c>
      <c r="AQ22" s="114" t="str">
        <f>[17]Summary!$AD$7</f>
        <v>?</v>
      </c>
      <c r="AR22" s="117" t="str">
        <f>[17]Summary!$AE$7</f>
        <v xml:space="preserve">RTL:
POST:
FPGA: </v>
      </c>
    </row>
    <row r="23" spans="2:44" ht="16.5" customHeight="1" x14ac:dyDescent="0.3">
      <c r="B23" s="196">
        <v>18</v>
      </c>
      <c r="C23" s="196" t="str">
        <f>[18]Summary!$B$7</f>
        <v>Clock Controller</v>
      </c>
      <c r="D23" s="196" t="str">
        <f>[18]Summary!$C$7</f>
        <v>김정욱 책임</v>
      </c>
      <c r="E23" s="196" t="str">
        <f>[18]Summary!$D$7</f>
        <v>김정욱 책임</v>
      </c>
      <c r="F23" s="286"/>
      <c r="G23" s="196">
        <v>16</v>
      </c>
      <c r="H23" s="196">
        <v>15</v>
      </c>
      <c r="I23" s="196">
        <v>25</v>
      </c>
      <c r="J23" s="196">
        <v>25</v>
      </c>
      <c r="K23" s="196">
        <f>[18]Summary!$I$7</f>
        <v>0</v>
      </c>
      <c r="L23" s="199">
        <f>[18]Summary!$J$7</f>
        <v>0</v>
      </c>
      <c r="M23" s="200" t="str">
        <f>[18]Summary!$K$7</f>
        <v>-</v>
      </c>
      <c r="N23" s="200">
        <f>[18]Summary!$L$7</f>
        <v>0</v>
      </c>
      <c r="O23" s="200">
        <f>[18]Summary!$M$7</f>
        <v>0</v>
      </c>
      <c r="P23" s="196" t="str">
        <f>[18]Summary!$N$7</f>
        <v>-</v>
      </c>
      <c r="Q23" s="196">
        <f t="shared" si="0"/>
        <v>41</v>
      </c>
      <c r="R23" s="115">
        <f t="shared" si="0"/>
        <v>40</v>
      </c>
      <c r="S23" s="200">
        <f t="shared" si="1"/>
        <v>0.97560975609756095</v>
      </c>
      <c r="T23" s="115"/>
      <c r="U23" s="286"/>
      <c r="V23" s="196">
        <v>25</v>
      </c>
      <c r="W23" s="199">
        <v>20</v>
      </c>
      <c r="X23" s="200">
        <f t="shared" si="2"/>
        <v>0.8</v>
      </c>
      <c r="Y23" s="115"/>
      <c r="Z23" s="196" t="str">
        <f>[18]Summary!$R$7</f>
        <v>-</v>
      </c>
      <c r="AA23" s="286"/>
      <c r="AB23" s="196">
        <v>25</v>
      </c>
      <c r="AC23" s="199">
        <v>25</v>
      </c>
      <c r="AD23" s="200">
        <f t="shared" si="3"/>
        <v>1</v>
      </c>
      <c r="AE23" s="196" t="str">
        <f>[18]Summary!$V$7</f>
        <v>-</v>
      </c>
      <c r="AF23" s="115"/>
      <c r="AG23" s="286"/>
      <c r="AH23" s="196">
        <v>30</v>
      </c>
      <c r="AI23" s="199">
        <v>5</v>
      </c>
      <c r="AJ23" s="200">
        <f t="shared" si="4"/>
        <v>0.16666666666666666</v>
      </c>
      <c r="AK23" s="115"/>
      <c r="AL23" s="196" t="str">
        <f>[18]Summary!$Z$7</f>
        <v>-</v>
      </c>
      <c r="AM23" s="174"/>
      <c r="AN23" s="201">
        <f>[18]Summary!$AA$7</f>
        <v>42138</v>
      </c>
      <c r="AO23" s="196" t="str">
        <f>[18]Summary!$AB$7</f>
        <v>?</v>
      </c>
      <c r="AP23" s="196" t="str">
        <f>[18]Summary!$AC$7</f>
        <v>?</v>
      </c>
      <c r="AQ23" s="196" t="str">
        <f>[18]Summary!$AD$7</f>
        <v>?</v>
      </c>
      <c r="AR23" s="202" t="str">
        <f>[18]Summary!$AE$7</f>
        <v xml:space="preserve">RTL:
POST:
FPGA: </v>
      </c>
    </row>
    <row r="24" spans="2:44" ht="16.5" customHeight="1" x14ac:dyDescent="0.3">
      <c r="B24" s="114">
        <v>19</v>
      </c>
      <c r="C24" s="114" t="str">
        <f>[19]Summary!$B$7</f>
        <v>Reset Controller</v>
      </c>
      <c r="D24" s="114" t="str">
        <f>[19]Summary!$C$7</f>
        <v>김정욱 책임</v>
      </c>
      <c r="E24" s="114" t="str">
        <f>[19]Summary!$D$7</f>
        <v>김정욱 책임</v>
      </c>
      <c r="F24" s="286"/>
      <c r="G24" s="114">
        <v>20</v>
      </c>
      <c r="H24" s="114">
        <v>13</v>
      </c>
      <c r="I24" s="114">
        <v>25</v>
      </c>
      <c r="J24" s="114">
        <v>22</v>
      </c>
      <c r="K24" s="114">
        <f>[19]Summary!$I$7</f>
        <v>0</v>
      </c>
      <c r="L24" s="115">
        <f>[19]Summary!$J$7</f>
        <v>0</v>
      </c>
      <c r="M24" s="116" t="str">
        <f>[19]Summary!$K$7</f>
        <v>-</v>
      </c>
      <c r="N24" s="116">
        <f>[19]Summary!$L$7</f>
        <v>0</v>
      </c>
      <c r="O24" s="116">
        <f>[19]Summary!$M$7</f>
        <v>0</v>
      </c>
      <c r="P24" s="114" t="str">
        <f>[19]Summary!$N$7</f>
        <v>-</v>
      </c>
      <c r="Q24" s="114">
        <f t="shared" si="0"/>
        <v>45</v>
      </c>
      <c r="R24" s="115">
        <f t="shared" si="0"/>
        <v>35</v>
      </c>
      <c r="S24" s="116">
        <f t="shared" si="1"/>
        <v>0.77777777777777779</v>
      </c>
      <c r="T24" s="115"/>
      <c r="U24" s="286"/>
      <c r="V24" s="114">
        <v>25</v>
      </c>
      <c r="W24" s="115">
        <v>20</v>
      </c>
      <c r="X24" s="116">
        <f t="shared" si="2"/>
        <v>0.8</v>
      </c>
      <c r="Y24" s="115"/>
      <c r="Z24" s="114" t="str">
        <f>[19]Summary!$R$7</f>
        <v>-</v>
      </c>
      <c r="AA24" s="286"/>
      <c r="AB24" s="114">
        <v>25</v>
      </c>
      <c r="AC24" s="115">
        <v>22</v>
      </c>
      <c r="AD24" s="116">
        <f t="shared" si="3"/>
        <v>0.88</v>
      </c>
      <c r="AE24" s="114" t="str">
        <f>[19]Summary!$V$7</f>
        <v>-</v>
      </c>
      <c r="AF24" s="115"/>
      <c r="AG24" s="286"/>
      <c r="AH24" s="114">
        <v>30</v>
      </c>
      <c r="AI24" s="115">
        <v>8</v>
      </c>
      <c r="AJ24" s="116">
        <f t="shared" si="4"/>
        <v>0.26666666666666666</v>
      </c>
      <c r="AK24" s="115"/>
      <c r="AL24" s="114" t="str">
        <f>[19]Summary!$Z$7</f>
        <v>-</v>
      </c>
      <c r="AM24" s="174"/>
      <c r="AN24" s="143">
        <f>[19]Summary!$AA$7</f>
        <v>42138</v>
      </c>
      <c r="AO24" s="114" t="str">
        <f>[19]Summary!$AB$7</f>
        <v>?</v>
      </c>
      <c r="AP24" s="114" t="str">
        <f>[19]Summary!$AC$7</f>
        <v>?</v>
      </c>
      <c r="AQ24" s="114" t="str">
        <f>[19]Summary!$AD$7</f>
        <v>?</v>
      </c>
      <c r="AR24" s="117" t="str">
        <f>[19]Summary!$AE$7</f>
        <v xml:space="preserve">RTL:
POST:
FPGA: </v>
      </c>
    </row>
    <row r="25" spans="2:44" ht="16.5" customHeight="1" x14ac:dyDescent="0.3">
      <c r="B25" s="196">
        <v>20</v>
      </c>
      <c r="C25" s="196" t="str">
        <f>[20]Summary!$B$7</f>
        <v>eFuse Controller</v>
      </c>
      <c r="D25" s="196" t="str">
        <f>[20]Summary!$C$7</f>
        <v>안병욱 선임</v>
      </c>
      <c r="E25" s="196" t="str">
        <f>[20]Summary!$D$7</f>
        <v>안병욱 선임</v>
      </c>
      <c r="F25" s="286"/>
      <c r="G25" s="196">
        <v>21</v>
      </c>
      <c r="H25" s="196">
        <v>20</v>
      </c>
      <c r="I25" s="196">
        <v>25</v>
      </c>
      <c r="J25" s="196">
        <v>22</v>
      </c>
      <c r="K25" s="196">
        <f>[20]Summary!$I$7</f>
        <v>0</v>
      </c>
      <c r="L25" s="199">
        <f>[20]Summary!$J$7</f>
        <v>0</v>
      </c>
      <c r="M25" s="200" t="str">
        <f>[20]Summary!$K$7</f>
        <v>-</v>
      </c>
      <c r="N25" s="200">
        <f>[20]Summary!$L$7</f>
        <v>0</v>
      </c>
      <c r="O25" s="200">
        <f>[20]Summary!$M$7</f>
        <v>0</v>
      </c>
      <c r="P25" s="196" t="str">
        <f>[20]Summary!$N$7</f>
        <v>-</v>
      </c>
      <c r="Q25" s="196">
        <f t="shared" si="0"/>
        <v>46</v>
      </c>
      <c r="R25" s="115">
        <f t="shared" si="0"/>
        <v>42</v>
      </c>
      <c r="S25" s="200">
        <f t="shared" si="1"/>
        <v>0.91304347826086951</v>
      </c>
      <c r="T25" s="115"/>
      <c r="U25" s="286"/>
      <c r="V25" s="196">
        <v>40</v>
      </c>
      <c r="W25" s="199">
        <v>35</v>
      </c>
      <c r="X25" s="200">
        <f t="shared" si="2"/>
        <v>0.875</v>
      </c>
      <c r="Y25" s="115"/>
      <c r="Z25" s="196" t="str">
        <f>[20]Summary!$R$7</f>
        <v>-</v>
      </c>
      <c r="AA25" s="286"/>
      <c r="AB25" s="196">
        <v>25</v>
      </c>
      <c r="AC25" s="199">
        <v>22</v>
      </c>
      <c r="AD25" s="200">
        <f t="shared" si="3"/>
        <v>0.88</v>
      </c>
      <c r="AE25" s="196" t="str">
        <f>[20]Summary!$V$7</f>
        <v>-</v>
      </c>
      <c r="AF25" s="115"/>
      <c r="AG25" s="286"/>
      <c r="AH25" s="196">
        <v>25</v>
      </c>
      <c r="AI25" s="199">
        <v>9</v>
      </c>
      <c r="AJ25" s="200">
        <f t="shared" si="4"/>
        <v>0.36</v>
      </c>
      <c r="AK25" s="115"/>
      <c r="AL25" s="196" t="str">
        <f>[20]Summary!$Z$7</f>
        <v>-</v>
      </c>
      <c r="AM25" s="174"/>
      <c r="AN25" s="201">
        <f>[20]Summary!$AA$7</f>
        <v>42138</v>
      </c>
      <c r="AO25" s="196" t="str">
        <f>[20]Summary!$AB$7</f>
        <v>?</v>
      </c>
      <c r="AP25" s="196" t="str">
        <f>[20]Summary!$AC$7</f>
        <v>?</v>
      </c>
      <c r="AQ25" s="196" t="str">
        <f>[20]Summary!$AD$7</f>
        <v>?</v>
      </c>
      <c r="AR25" s="202" t="str">
        <f>[20]Summary!$AE$7</f>
        <v xml:space="preserve">RTL:
POST:
FPGA: </v>
      </c>
    </row>
    <row r="26" spans="2:44" ht="16.5" customHeight="1" x14ac:dyDescent="0.3">
      <c r="B26" s="114">
        <v>21</v>
      </c>
      <c r="C26" s="114" t="str">
        <f>[21]Summary!$B$7</f>
        <v>M-PHY</v>
      </c>
      <c r="D26" s="114" t="str">
        <f>[21]Summary!$C$7</f>
        <v>이현주 선임</v>
      </c>
      <c r="E26" s="114" t="str">
        <f>[21]Summary!$D$7</f>
        <v>이현주 선임</v>
      </c>
      <c r="F26" s="286"/>
      <c r="G26" s="114">
        <v>25</v>
      </c>
      <c r="H26" s="114">
        <v>22</v>
      </c>
      <c r="I26" s="114">
        <v>25</v>
      </c>
      <c r="J26" s="114">
        <v>23</v>
      </c>
      <c r="K26" s="114">
        <f>[21]Summary!$I$7</f>
        <v>0</v>
      </c>
      <c r="L26" s="115">
        <f>[21]Summary!$J$7</f>
        <v>0</v>
      </c>
      <c r="M26" s="116" t="str">
        <f>[21]Summary!$K$7</f>
        <v>-</v>
      </c>
      <c r="N26" s="116">
        <f>[21]Summary!$L$7</f>
        <v>0</v>
      </c>
      <c r="O26" s="116">
        <f>[21]Summary!$M$7</f>
        <v>0</v>
      </c>
      <c r="P26" s="114" t="str">
        <f>[21]Summary!$N$7</f>
        <v>-</v>
      </c>
      <c r="Q26" s="114">
        <f t="shared" si="0"/>
        <v>50</v>
      </c>
      <c r="R26" s="115">
        <f t="shared" si="0"/>
        <v>45</v>
      </c>
      <c r="S26" s="116">
        <f t="shared" si="1"/>
        <v>0.9</v>
      </c>
      <c r="T26" s="115"/>
      <c r="U26" s="286"/>
      <c r="V26" s="114">
        <v>40</v>
      </c>
      <c r="W26" s="115">
        <v>30</v>
      </c>
      <c r="X26" s="116">
        <f t="shared" si="2"/>
        <v>0.75</v>
      </c>
      <c r="Y26" s="115"/>
      <c r="Z26" s="114" t="str">
        <f>[21]Summary!$R$7</f>
        <v>-</v>
      </c>
      <c r="AA26" s="286"/>
      <c r="AB26" s="114">
        <v>25</v>
      </c>
      <c r="AC26" s="115">
        <v>23</v>
      </c>
      <c r="AD26" s="116">
        <f t="shared" si="3"/>
        <v>0.92</v>
      </c>
      <c r="AE26" s="114" t="str">
        <f>[21]Summary!$V$7</f>
        <v>-</v>
      </c>
      <c r="AF26" s="115"/>
      <c r="AG26" s="286"/>
      <c r="AH26" s="114">
        <v>25</v>
      </c>
      <c r="AI26" s="115">
        <v>7</v>
      </c>
      <c r="AJ26" s="116">
        <f t="shared" si="4"/>
        <v>0.28000000000000003</v>
      </c>
      <c r="AK26" s="115"/>
      <c r="AL26" s="114" t="str">
        <f>[21]Summary!$Z$7</f>
        <v>-</v>
      </c>
      <c r="AM26" s="174"/>
      <c r="AN26" s="143">
        <f>[21]Summary!$AA$7</f>
        <v>42138</v>
      </c>
      <c r="AO26" s="114" t="str">
        <f>[21]Summary!$AB$7</f>
        <v>?</v>
      </c>
      <c r="AP26" s="114" t="str">
        <f>[21]Summary!$AC$7</f>
        <v>?</v>
      </c>
      <c r="AQ26" s="114" t="str">
        <f>[21]Summary!$AD$7</f>
        <v>?</v>
      </c>
      <c r="AR26" s="117" t="str">
        <f>[21]Summary!$AE$7</f>
        <v xml:space="preserve">RTL:
POST:
FPGA: </v>
      </c>
    </row>
    <row r="27" spans="2:44" ht="16.5" customHeight="1" x14ac:dyDescent="0.3">
      <c r="B27" s="196">
        <v>22</v>
      </c>
      <c r="C27" s="196" t="str">
        <f>[22]Summary!$B$7</f>
        <v>Nand PHY</v>
      </c>
      <c r="D27" s="196" t="str">
        <f>[22]Summary!$C$7</f>
        <v>이종용 선임</v>
      </c>
      <c r="E27" s="196" t="str">
        <f>[22]Summary!$D$7</f>
        <v>이종용 선임</v>
      </c>
      <c r="F27" s="286"/>
      <c r="G27" s="196">
        <v>20</v>
      </c>
      <c r="H27" s="196">
        <v>20</v>
      </c>
      <c r="I27" s="196">
        <v>30</v>
      </c>
      <c r="J27" s="196">
        <v>25</v>
      </c>
      <c r="K27" s="196">
        <f>[22]Summary!$I$7</f>
        <v>0</v>
      </c>
      <c r="L27" s="199">
        <f>[22]Summary!$J$7</f>
        <v>0</v>
      </c>
      <c r="M27" s="200" t="str">
        <f>[22]Summary!$K$7</f>
        <v>-</v>
      </c>
      <c r="N27" s="200">
        <f>[22]Summary!$L$7</f>
        <v>0</v>
      </c>
      <c r="O27" s="200">
        <f>[22]Summary!$M$7</f>
        <v>0</v>
      </c>
      <c r="P27" s="196" t="str">
        <f>[22]Summary!$N$7</f>
        <v>-</v>
      </c>
      <c r="Q27" s="196">
        <f t="shared" si="0"/>
        <v>50</v>
      </c>
      <c r="R27" s="115">
        <f t="shared" si="0"/>
        <v>45</v>
      </c>
      <c r="S27" s="200">
        <f t="shared" si="1"/>
        <v>0.9</v>
      </c>
      <c r="T27" s="115"/>
      <c r="U27" s="286"/>
      <c r="V27" s="196">
        <v>35</v>
      </c>
      <c r="W27" s="199">
        <v>30</v>
      </c>
      <c r="X27" s="200">
        <f t="shared" si="2"/>
        <v>0.8571428571428571</v>
      </c>
      <c r="Y27" s="115"/>
      <c r="Z27" s="196" t="str">
        <f>[22]Summary!$R$7</f>
        <v>-</v>
      </c>
      <c r="AA27" s="286"/>
      <c r="AB27" s="196">
        <v>30</v>
      </c>
      <c r="AC27" s="199">
        <v>30</v>
      </c>
      <c r="AD27" s="200">
        <f t="shared" si="3"/>
        <v>1</v>
      </c>
      <c r="AE27" s="196" t="str">
        <f>[22]Summary!$V$7</f>
        <v>-</v>
      </c>
      <c r="AF27" s="115"/>
      <c r="AG27" s="286"/>
      <c r="AH27" s="196">
        <v>30</v>
      </c>
      <c r="AI27" s="199">
        <v>5</v>
      </c>
      <c r="AJ27" s="200">
        <f t="shared" si="4"/>
        <v>0.16666666666666666</v>
      </c>
      <c r="AK27" s="115"/>
      <c r="AL27" s="196" t="str">
        <f>[22]Summary!$Z$7</f>
        <v>-</v>
      </c>
      <c r="AM27" s="174"/>
      <c r="AN27" s="201">
        <f>[22]Summary!$AA$7</f>
        <v>42138</v>
      </c>
      <c r="AO27" s="196" t="str">
        <f>[22]Summary!$AB$7</f>
        <v>?</v>
      </c>
      <c r="AP27" s="196" t="str">
        <f>[22]Summary!$AC$7</f>
        <v>?</v>
      </c>
      <c r="AQ27" s="196" t="str">
        <f>[22]Summary!$AD$7</f>
        <v>?</v>
      </c>
      <c r="AR27" s="202" t="str">
        <f>[22]Summary!$AE$7</f>
        <v xml:space="preserve">RTL:
POST:
FPGA: </v>
      </c>
    </row>
    <row r="28" spans="2:44" ht="16.5" customHeight="1" x14ac:dyDescent="0.3">
      <c r="B28" s="114">
        <v>23</v>
      </c>
      <c r="C28" s="114" t="str">
        <f>[23]Summary!$B$7</f>
        <v>Nand IO</v>
      </c>
      <c r="D28" s="114" t="str">
        <f>[23]Summary!$C$7</f>
        <v>이종용 선임</v>
      </c>
      <c r="E28" s="114" t="str">
        <f>[23]Summary!$D$7</f>
        <v>이종용 선임</v>
      </c>
      <c r="F28" s="286"/>
      <c r="G28" s="114">
        <v>30</v>
      </c>
      <c r="H28" s="114">
        <v>25</v>
      </c>
      <c r="I28" s="114">
        <v>35</v>
      </c>
      <c r="J28" s="114">
        <v>30</v>
      </c>
      <c r="K28" s="114">
        <f>[23]Summary!$I$7</f>
        <v>0</v>
      </c>
      <c r="L28" s="115">
        <f>[23]Summary!$J$7</f>
        <v>0</v>
      </c>
      <c r="M28" s="116" t="str">
        <f>[23]Summary!$K$7</f>
        <v>-</v>
      </c>
      <c r="N28" s="116">
        <f>[23]Summary!$L$7</f>
        <v>0</v>
      </c>
      <c r="O28" s="116">
        <f>[23]Summary!$M$7</f>
        <v>0</v>
      </c>
      <c r="P28" s="114" t="str">
        <f>[23]Summary!$N$7</f>
        <v>-</v>
      </c>
      <c r="Q28" s="114">
        <f t="shared" si="0"/>
        <v>65</v>
      </c>
      <c r="R28" s="115">
        <f t="shared" si="0"/>
        <v>55</v>
      </c>
      <c r="S28" s="116">
        <f t="shared" si="1"/>
        <v>0.84615384615384615</v>
      </c>
      <c r="T28" s="115"/>
      <c r="U28" s="286"/>
      <c r="V28" s="114">
        <v>35</v>
      </c>
      <c r="W28" s="115">
        <v>30</v>
      </c>
      <c r="X28" s="116">
        <f t="shared" si="2"/>
        <v>0.8571428571428571</v>
      </c>
      <c r="Y28" s="115"/>
      <c r="Z28" s="114" t="str">
        <f>[23]Summary!$R$7</f>
        <v>-</v>
      </c>
      <c r="AA28" s="286"/>
      <c r="AB28" s="114">
        <v>20</v>
      </c>
      <c r="AC28" s="115">
        <v>18</v>
      </c>
      <c r="AD28" s="116">
        <f t="shared" si="3"/>
        <v>0.9</v>
      </c>
      <c r="AE28" s="114" t="str">
        <f>[23]Summary!$V$7</f>
        <v>-</v>
      </c>
      <c r="AF28" s="115"/>
      <c r="AG28" s="286"/>
      <c r="AH28" s="114">
        <v>30</v>
      </c>
      <c r="AI28" s="115">
        <v>8</v>
      </c>
      <c r="AJ28" s="116">
        <f t="shared" si="4"/>
        <v>0.26666666666666666</v>
      </c>
      <c r="AK28" s="115"/>
      <c r="AL28" s="114" t="str">
        <f>[23]Summary!$Z$7</f>
        <v>-</v>
      </c>
      <c r="AM28" s="174"/>
      <c r="AN28" s="143">
        <f>[23]Summary!$AA$7</f>
        <v>42138</v>
      </c>
      <c r="AO28" s="114" t="str">
        <f>[23]Summary!$AB$7</f>
        <v>?</v>
      </c>
      <c r="AP28" s="114" t="str">
        <f>[23]Summary!$AC$7</f>
        <v>?</v>
      </c>
      <c r="AQ28" s="114" t="str">
        <f>[23]Summary!$AD$7</f>
        <v>?</v>
      </c>
      <c r="AR28" s="117" t="str">
        <f>[23]Summary!$AE$7</f>
        <v xml:space="preserve">RTL:
POST:
FPGA: </v>
      </c>
    </row>
    <row r="29" spans="2:44" ht="16.5" customHeight="1" x14ac:dyDescent="0.3">
      <c r="B29" s="196">
        <v>24</v>
      </c>
      <c r="C29" s="196" t="str">
        <f>[24]Summary!$B$7</f>
        <v>Test Mux</v>
      </c>
      <c r="D29" s="196" t="str">
        <f>[24]Summary!$C$7</f>
        <v>양창호 선임</v>
      </c>
      <c r="E29" s="196" t="str">
        <f>[24]Summary!$D$7</f>
        <v>양창호 선임</v>
      </c>
      <c r="F29" s="286"/>
      <c r="G29" s="196">
        <v>35</v>
      </c>
      <c r="H29" s="196">
        <v>30</v>
      </c>
      <c r="I29" s="196">
        <v>20</v>
      </c>
      <c r="J29" s="196">
        <v>15</v>
      </c>
      <c r="K29" s="196">
        <f>[24]Summary!$I$7</f>
        <v>0</v>
      </c>
      <c r="L29" s="199">
        <f>[24]Summary!$J$7</f>
        <v>0</v>
      </c>
      <c r="M29" s="200" t="str">
        <f>[24]Summary!$K$7</f>
        <v>-</v>
      </c>
      <c r="N29" s="200">
        <f>[24]Summary!$L$7</f>
        <v>0</v>
      </c>
      <c r="O29" s="200">
        <f>[24]Summary!$M$7</f>
        <v>0</v>
      </c>
      <c r="P29" s="196" t="str">
        <f>[24]Summary!$N$7</f>
        <v>-</v>
      </c>
      <c r="Q29" s="196">
        <f t="shared" si="0"/>
        <v>55</v>
      </c>
      <c r="R29" s="115">
        <f t="shared" si="0"/>
        <v>45</v>
      </c>
      <c r="S29" s="200">
        <f t="shared" si="1"/>
        <v>0.81818181818181823</v>
      </c>
      <c r="T29" s="115"/>
      <c r="U29" s="286"/>
      <c r="V29" s="196">
        <v>20</v>
      </c>
      <c r="W29" s="199">
        <v>20</v>
      </c>
      <c r="X29" s="200">
        <f t="shared" si="2"/>
        <v>1</v>
      </c>
      <c r="Y29" s="115"/>
      <c r="Z29" s="196" t="str">
        <f>[24]Summary!$R$7</f>
        <v>-</v>
      </c>
      <c r="AA29" s="286"/>
      <c r="AB29" s="196">
        <v>30</v>
      </c>
      <c r="AC29" s="199">
        <v>15</v>
      </c>
      <c r="AD29" s="200">
        <f t="shared" si="3"/>
        <v>0.5</v>
      </c>
      <c r="AE29" s="196" t="str">
        <f>[24]Summary!$V$7</f>
        <v>-</v>
      </c>
      <c r="AF29" s="115"/>
      <c r="AG29" s="286"/>
      <c r="AH29" s="196">
        <v>25</v>
      </c>
      <c r="AI29" s="199">
        <v>2</v>
      </c>
      <c r="AJ29" s="200">
        <f t="shared" si="4"/>
        <v>0.08</v>
      </c>
      <c r="AK29" s="115"/>
      <c r="AL29" s="196" t="str">
        <f>[24]Summary!$Z$7</f>
        <v>-</v>
      </c>
      <c r="AM29" s="174"/>
      <c r="AN29" s="201">
        <f>[24]Summary!$AA$7</f>
        <v>42138</v>
      </c>
      <c r="AO29" s="196" t="str">
        <f>[24]Summary!$AB$7</f>
        <v>?</v>
      </c>
      <c r="AP29" s="196" t="str">
        <f>[24]Summary!$AC$7</f>
        <v>?</v>
      </c>
      <c r="AQ29" s="196" t="str">
        <f>[24]Summary!$AD$7</f>
        <v>?</v>
      </c>
      <c r="AR29" s="202" t="str">
        <f>[24]Summary!$AE$7</f>
        <v xml:space="preserve">RTL:
POST:
FPGA: </v>
      </c>
    </row>
    <row r="30" spans="2:44" ht="16.5" customHeight="1" x14ac:dyDescent="0.3">
      <c r="B30" s="114">
        <v>25</v>
      </c>
      <c r="C30" s="114" t="str">
        <f>[25]Summary!$B$7</f>
        <v>HW Bypass</v>
      </c>
      <c r="D30" s="114" t="str">
        <f>[25]Summary!$C$7</f>
        <v>양창호 선임</v>
      </c>
      <c r="E30" s="114" t="str">
        <f>[25]Summary!$D$7</f>
        <v>양창호 선임</v>
      </c>
      <c r="F30" s="286"/>
      <c r="G30" s="114">
        <v>20</v>
      </c>
      <c r="H30" s="114">
        <v>20</v>
      </c>
      <c r="I30" s="114">
        <v>25</v>
      </c>
      <c r="J30" s="114">
        <v>25</v>
      </c>
      <c r="K30" s="114">
        <f>[25]Summary!$I$7</f>
        <v>0</v>
      </c>
      <c r="L30" s="115">
        <f>[25]Summary!$J$7</f>
        <v>0</v>
      </c>
      <c r="M30" s="116" t="str">
        <f>[25]Summary!$K$7</f>
        <v>-</v>
      </c>
      <c r="N30" s="116">
        <f>[25]Summary!$L$7</f>
        <v>0</v>
      </c>
      <c r="O30" s="116">
        <f>[25]Summary!$M$7</f>
        <v>0</v>
      </c>
      <c r="P30" s="114" t="str">
        <f>[25]Summary!$N$7</f>
        <v>-</v>
      </c>
      <c r="Q30" s="114">
        <f t="shared" si="0"/>
        <v>45</v>
      </c>
      <c r="R30" s="115">
        <f t="shared" si="0"/>
        <v>45</v>
      </c>
      <c r="S30" s="116">
        <f t="shared" si="1"/>
        <v>1</v>
      </c>
      <c r="T30" s="115"/>
      <c r="U30" s="286"/>
      <c r="V30" s="114">
        <v>25</v>
      </c>
      <c r="W30" s="115">
        <v>20</v>
      </c>
      <c r="X30" s="116">
        <f t="shared" si="2"/>
        <v>0.8</v>
      </c>
      <c r="Y30" s="115"/>
      <c r="Z30" s="114" t="str">
        <f>[25]Summary!$R$7</f>
        <v>-</v>
      </c>
      <c r="AA30" s="286"/>
      <c r="AB30" s="114">
        <v>25</v>
      </c>
      <c r="AC30" s="115">
        <v>5</v>
      </c>
      <c r="AD30" s="116">
        <f t="shared" si="3"/>
        <v>0.2</v>
      </c>
      <c r="AE30" s="114" t="str">
        <f>[25]Summary!$V$7</f>
        <v>-</v>
      </c>
      <c r="AF30" s="115"/>
      <c r="AG30" s="286"/>
      <c r="AH30" s="114">
        <v>30</v>
      </c>
      <c r="AI30" s="115">
        <v>2</v>
      </c>
      <c r="AJ30" s="116">
        <f t="shared" si="4"/>
        <v>6.6666666666666666E-2</v>
      </c>
      <c r="AK30" s="115"/>
      <c r="AL30" s="114" t="str">
        <f>[25]Summary!$Z$7</f>
        <v>-</v>
      </c>
      <c r="AM30" s="174"/>
      <c r="AN30" s="143">
        <f>[25]Summary!$AA$7</f>
        <v>42138</v>
      </c>
      <c r="AO30" s="114" t="str">
        <f>[25]Summary!$AB$7</f>
        <v>?</v>
      </c>
      <c r="AP30" s="114" t="str">
        <f>[25]Summary!$AC$7</f>
        <v>?</v>
      </c>
      <c r="AQ30" s="114" t="str">
        <f>[25]Summary!$AD$7</f>
        <v>?</v>
      </c>
      <c r="AR30" s="117" t="str">
        <f>[25]Summary!$AE$7</f>
        <v xml:space="preserve">RTL:
POST:
FPGA: </v>
      </c>
    </row>
    <row r="31" spans="2:44" ht="16.5" customHeight="1" x14ac:dyDescent="0.3">
      <c r="B31" s="196">
        <v>26</v>
      </c>
      <c r="C31" s="196" t="str">
        <f>[26]Summary!$B$7</f>
        <v>Analog IP</v>
      </c>
      <c r="D31" s="196" t="str">
        <f>[26]Summary!$C$7</f>
        <v>양창호 선임</v>
      </c>
      <c r="E31" s="196" t="str">
        <f>[26]Summary!$D$7</f>
        <v>양창호 선임</v>
      </c>
      <c r="F31" s="286"/>
      <c r="G31" s="196">
        <v>20</v>
      </c>
      <c r="H31" s="196">
        <v>18</v>
      </c>
      <c r="I31" s="196">
        <v>30</v>
      </c>
      <c r="J31" s="196">
        <v>30</v>
      </c>
      <c r="K31" s="196">
        <f>[26]Summary!$I$7</f>
        <v>0</v>
      </c>
      <c r="L31" s="199">
        <f>[26]Summary!$J$7</f>
        <v>0</v>
      </c>
      <c r="M31" s="200" t="str">
        <f>[26]Summary!$K$7</f>
        <v>-</v>
      </c>
      <c r="N31" s="200">
        <f>[26]Summary!$L$7</f>
        <v>0</v>
      </c>
      <c r="O31" s="200">
        <f>[26]Summary!$M$7</f>
        <v>0</v>
      </c>
      <c r="P31" s="196" t="str">
        <f>[26]Summary!$N$7</f>
        <v>-</v>
      </c>
      <c r="Q31" s="196">
        <f t="shared" si="0"/>
        <v>50</v>
      </c>
      <c r="R31" s="115">
        <f t="shared" si="0"/>
        <v>48</v>
      </c>
      <c r="S31" s="200">
        <f t="shared" si="1"/>
        <v>0.96</v>
      </c>
      <c r="T31" s="115"/>
      <c r="U31" s="286"/>
      <c r="V31" s="196">
        <v>30</v>
      </c>
      <c r="W31" s="199">
        <v>20</v>
      </c>
      <c r="X31" s="200">
        <f t="shared" si="2"/>
        <v>0.66666666666666663</v>
      </c>
      <c r="Y31" s="115"/>
      <c r="Z31" s="196" t="str">
        <f>[26]Summary!$R$7</f>
        <v>-</v>
      </c>
      <c r="AA31" s="286"/>
      <c r="AB31" s="196">
        <v>30</v>
      </c>
      <c r="AC31" s="199">
        <v>2</v>
      </c>
      <c r="AD31" s="200">
        <f t="shared" si="3"/>
        <v>6.6666666666666666E-2</v>
      </c>
      <c r="AE31" s="196" t="str">
        <f>[26]Summary!$V$7</f>
        <v>-</v>
      </c>
      <c r="AF31" s="115"/>
      <c r="AG31" s="286"/>
      <c r="AH31" s="196">
        <v>40</v>
      </c>
      <c r="AI31" s="199">
        <v>5</v>
      </c>
      <c r="AJ31" s="200">
        <f t="shared" si="4"/>
        <v>0.125</v>
      </c>
      <c r="AK31" s="115"/>
      <c r="AL31" s="196" t="str">
        <f>[26]Summary!$Z$7</f>
        <v>-</v>
      </c>
      <c r="AM31" s="174"/>
      <c r="AN31" s="201">
        <f>[26]Summary!$AA$7</f>
        <v>42138</v>
      </c>
      <c r="AO31" s="196" t="str">
        <f>[26]Summary!$AB$7</f>
        <v>?</v>
      </c>
      <c r="AP31" s="196" t="str">
        <f>[26]Summary!$AC$7</f>
        <v>?</v>
      </c>
      <c r="AQ31" s="196" t="str">
        <f>[26]Summary!$AD$7</f>
        <v>?</v>
      </c>
      <c r="AR31" s="202" t="str">
        <f>[26]Summary!$AE$7</f>
        <v xml:space="preserve">RTL:
POST:
FPGA: </v>
      </c>
    </row>
    <row r="32" spans="2:44" ht="16.5" customHeight="1" x14ac:dyDescent="0.3">
      <c r="B32" s="114">
        <v>27</v>
      </c>
      <c r="C32" s="114" t="str">
        <f>[27]Summary!$B$7</f>
        <v>GPIO</v>
      </c>
      <c r="D32" s="114" t="str">
        <f>[27]Summary!$C$7</f>
        <v>양창호 선임</v>
      </c>
      <c r="E32" s="114" t="str">
        <f>[27]Summary!$D$7</f>
        <v>양창호 선임</v>
      </c>
      <c r="F32" s="286"/>
      <c r="G32" s="114">
        <v>20</v>
      </c>
      <c r="H32" s="114">
        <v>10</v>
      </c>
      <c r="I32" s="114">
        <v>40</v>
      </c>
      <c r="J32" s="114">
        <v>35</v>
      </c>
      <c r="K32" s="114">
        <f>[27]Summary!$I$7</f>
        <v>0</v>
      </c>
      <c r="L32" s="115">
        <f>[27]Summary!$J$7</f>
        <v>0</v>
      </c>
      <c r="M32" s="116" t="str">
        <f>[27]Summary!$K$7</f>
        <v>-</v>
      </c>
      <c r="N32" s="116">
        <f>[27]Summary!$L$7</f>
        <v>0</v>
      </c>
      <c r="O32" s="116">
        <f>[27]Summary!$M$7</f>
        <v>0</v>
      </c>
      <c r="P32" s="114" t="str">
        <f>[27]Summary!$N$7</f>
        <v>-</v>
      </c>
      <c r="Q32" s="114">
        <f t="shared" si="0"/>
        <v>60</v>
      </c>
      <c r="R32" s="115">
        <f t="shared" si="0"/>
        <v>45</v>
      </c>
      <c r="S32" s="116">
        <f t="shared" si="1"/>
        <v>0.75</v>
      </c>
      <c r="T32" s="115"/>
      <c r="U32" s="286"/>
      <c r="V32" s="114">
        <v>30</v>
      </c>
      <c r="W32" s="115">
        <v>20</v>
      </c>
      <c r="X32" s="116">
        <f t="shared" si="2"/>
        <v>0.66666666666666663</v>
      </c>
      <c r="Y32" s="115"/>
      <c r="Z32" s="114" t="str">
        <f>[27]Summary!$R$7</f>
        <v>-</v>
      </c>
      <c r="AA32" s="286"/>
      <c r="AB32" s="114">
        <v>20</v>
      </c>
      <c r="AC32" s="115">
        <v>3</v>
      </c>
      <c r="AD32" s="116">
        <f t="shared" si="3"/>
        <v>0.15</v>
      </c>
      <c r="AE32" s="114" t="str">
        <f>[27]Summary!$V$7</f>
        <v>-</v>
      </c>
      <c r="AF32" s="115"/>
      <c r="AG32" s="286"/>
      <c r="AH32" s="114">
        <v>50</v>
      </c>
      <c r="AI32" s="115">
        <v>2</v>
      </c>
      <c r="AJ32" s="116">
        <f t="shared" si="4"/>
        <v>0.04</v>
      </c>
      <c r="AK32" s="115"/>
      <c r="AL32" s="114" t="str">
        <f>[27]Summary!$Z$7</f>
        <v>-</v>
      </c>
      <c r="AM32" s="174"/>
      <c r="AN32" s="143">
        <f>[27]Summary!$AA$7</f>
        <v>42138</v>
      </c>
      <c r="AO32" s="114" t="str">
        <f>[27]Summary!$AB$7</f>
        <v>?</v>
      </c>
      <c r="AP32" s="114" t="str">
        <f>[27]Summary!$AC$7</f>
        <v>?</v>
      </c>
      <c r="AQ32" s="114" t="str">
        <f>[27]Summary!$AD$7</f>
        <v>?</v>
      </c>
      <c r="AR32" s="117" t="str">
        <f>[27]Summary!$AE$7</f>
        <v xml:space="preserve">RTL:
POST:
FPGA: </v>
      </c>
    </row>
    <row r="33" spans="2:44" ht="16.5" customHeight="1" x14ac:dyDescent="0.3">
      <c r="B33" s="164" t="s">
        <v>31</v>
      </c>
      <c r="C33" s="164" t="str">
        <f>[28]Summary!$B$7</f>
        <v>End to End</v>
      </c>
      <c r="D33" s="164" t="str">
        <f>[28]Summary!$C$7</f>
        <v>ALL</v>
      </c>
      <c r="E33" s="164" t="str">
        <f>[28]Summary!$D$7</f>
        <v>조성엽 책임</v>
      </c>
      <c r="F33" s="286"/>
      <c r="G33" s="164">
        <v>10</v>
      </c>
      <c r="H33" s="164">
        <v>5</v>
      </c>
      <c r="I33" s="164">
        <v>10</v>
      </c>
      <c r="J33" s="164">
        <f>[28]Summary!$H$7</f>
        <v>0</v>
      </c>
      <c r="K33" s="164">
        <f>[28]Summary!$I$7</f>
        <v>0</v>
      </c>
      <c r="L33" s="167">
        <f>[28]Summary!$J$7</f>
        <v>0</v>
      </c>
      <c r="M33" s="168" t="str">
        <f>[28]Summary!$K$7</f>
        <v>-</v>
      </c>
      <c r="N33" s="168">
        <f>[28]Summary!$L$7</f>
        <v>0</v>
      </c>
      <c r="O33" s="168">
        <f>[28]Summary!$M$7</f>
        <v>0</v>
      </c>
      <c r="P33" s="164" t="str">
        <f>[28]Summary!$N$7</f>
        <v>-</v>
      </c>
      <c r="Q33" s="164">
        <f t="shared" si="0"/>
        <v>20</v>
      </c>
      <c r="R33" s="115">
        <f t="shared" si="0"/>
        <v>5</v>
      </c>
      <c r="S33" s="168">
        <f t="shared" si="1"/>
        <v>0.25</v>
      </c>
      <c r="T33" s="115"/>
      <c r="U33" s="286"/>
      <c r="V33" s="164">
        <v>25</v>
      </c>
      <c r="W33" s="167">
        <v>15</v>
      </c>
      <c r="X33" s="168">
        <f t="shared" si="2"/>
        <v>0.6</v>
      </c>
      <c r="Y33" s="115"/>
      <c r="Z33" s="164" t="str">
        <f>[28]Summary!$R$7</f>
        <v>-</v>
      </c>
      <c r="AA33" s="286"/>
      <c r="AB33" s="164">
        <v>25</v>
      </c>
      <c r="AC33" s="167">
        <v>5</v>
      </c>
      <c r="AD33" s="168">
        <f t="shared" si="3"/>
        <v>0.2</v>
      </c>
      <c r="AE33" s="164" t="str">
        <f>[28]Summary!$V$7</f>
        <v>-</v>
      </c>
      <c r="AF33" s="115"/>
      <c r="AG33" s="286"/>
      <c r="AH33" s="164">
        <v>20</v>
      </c>
      <c r="AI33" s="167">
        <v>5</v>
      </c>
      <c r="AJ33" s="168">
        <f t="shared" si="4"/>
        <v>0.25</v>
      </c>
      <c r="AK33" s="115"/>
      <c r="AL33" s="164" t="str">
        <f>[28]Summary!$Z$7</f>
        <v>-</v>
      </c>
      <c r="AM33" s="174"/>
      <c r="AN33" s="203">
        <f>[28]Summary!$AA$7</f>
        <v>42138</v>
      </c>
      <c r="AO33" s="164" t="str">
        <f>[28]Summary!$AB$7</f>
        <v>?</v>
      </c>
      <c r="AP33" s="164" t="str">
        <f>[28]Summary!$AC$7</f>
        <v>?</v>
      </c>
      <c r="AQ33" s="164" t="str">
        <f>[28]Summary!$AD$7</f>
        <v>?</v>
      </c>
      <c r="AR33" s="204" t="str">
        <f>[28]Summary!$AE$7</f>
        <v xml:space="preserve">RTL:
POST:
FPGA: </v>
      </c>
    </row>
    <row r="34" spans="2:44" ht="16.5" customHeight="1" x14ac:dyDescent="0.3">
      <c r="B34" s="164" t="s">
        <v>31</v>
      </c>
      <c r="C34" s="164" t="str">
        <f>[29]Summary!$B$7</f>
        <v>Post-Silicon Validation</v>
      </c>
      <c r="D34" s="164" t="str">
        <f>[29]Summary!$C$7</f>
        <v>ALL</v>
      </c>
      <c r="E34" s="164" t="str">
        <f>[29]Summary!$D$7</f>
        <v>ALL</v>
      </c>
      <c r="F34" s="286"/>
      <c r="G34" s="164"/>
      <c r="H34" s="164"/>
      <c r="I34" s="164"/>
      <c r="J34" s="164"/>
      <c r="K34" s="164"/>
      <c r="L34" s="167"/>
      <c r="M34" s="168"/>
      <c r="N34" s="168"/>
      <c r="O34" s="168"/>
      <c r="P34" s="164"/>
      <c r="Q34" s="164"/>
      <c r="R34" s="164"/>
      <c r="S34" s="168"/>
      <c r="T34" s="164"/>
      <c r="U34" s="286"/>
      <c r="V34" s="164"/>
      <c r="W34" s="167"/>
      <c r="X34" s="168"/>
      <c r="Y34" s="164"/>
      <c r="Z34" s="164"/>
      <c r="AA34" s="286"/>
      <c r="AB34" s="164"/>
      <c r="AC34" s="167"/>
      <c r="AD34" s="168"/>
      <c r="AE34" s="164"/>
      <c r="AF34" s="164"/>
      <c r="AG34" s="286"/>
      <c r="AH34" s="164"/>
      <c r="AI34" s="167"/>
      <c r="AJ34" s="168"/>
      <c r="AK34" s="164"/>
      <c r="AL34" s="164"/>
      <c r="AM34" s="174"/>
      <c r="AN34" s="203"/>
      <c r="AO34" s="164"/>
      <c r="AP34" s="164"/>
      <c r="AQ34" s="164"/>
      <c r="AR34" s="204"/>
    </row>
    <row r="35" spans="2:44" ht="16.5" customHeight="1" x14ac:dyDescent="0.3">
      <c r="B35" s="306" t="s">
        <v>32</v>
      </c>
      <c r="C35" s="306"/>
      <c r="D35" s="307"/>
      <c r="E35" s="308"/>
      <c r="F35" s="176"/>
      <c r="G35" s="279">
        <f>AVERAGE(G6:G33)</f>
        <v>18.714285714285715</v>
      </c>
      <c r="H35" s="279">
        <f t="shared" ref="H35:K35" si="5">AVERAGE(H6:H33)</f>
        <v>14.642857142857142</v>
      </c>
      <c r="I35" s="279">
        <f t="shared" si="5"/>
        <v>24</v>
      </c>
      <c r="J35" s="279">
        <f t="shared" si="5"/>
        <v>19.035714285714285</v>
      </c>
      <c r="K35" s="279">
        <f t="shared" si="5"/>
        <v>0</v>
      </c>
      <c r="L35" s="280">
        <f>AVERAGE(L6:L33)</f>
        <v>0</v>
      </c>
      <c r="M35" s="281"/>
      <c r="N35" s="282">
        <f>AVERAGE(N7:N33)</f>
        <v>0</v>
      </c>
      <c r="O35" s="282">
        <f>AVERAGE(O6:O33)</f>
        <v>0</v>
      </c>
      <c r="P35" s="283"/>
      <c r="Q35" s="279">
        <f>AVERAGE(Q6:Q33)</f>
        <v>42.714285714285715</v>
      </c>
      <c r="R35" s="279">
        <f t="shared" ref="R35" si="6">AVERAGE(R6:R33)</f>
        <v>33.678571428571431</v>
      </c>
      <c r="S35" s="271"/>
      <c r="T35" s="271"/>
      <c r="U35" s="146"/>
      <c r="V35" s="279">
        <f>AVERAGE(V6:V33)</f>
        <v>30.357142857142858</v>
      </c>
      <c r="W35" s="280">
        <f>AVERAGE(W6:W33)</f>
        <v>24.678571428571427</v>
      </c>
      <c r="X35" s="281" t="s">
        <v>31</v>
      </c>
      <c r="Y35" s="271"/>
      <c r="Z35" s="283"/>
      <c r="AA35" s="146"/>
      <c r="AB35" s="279">
        <f>AVERAGE(AB6:AB33)</f>
        <v>26.428571428571427</v>
      </c>
      <c r="AC35" s="280">
        <f>AVERAGE(AC6:AC33)</f>
        <v>19.357142857142858</v>
      </c>
      <c r="AD35" s="281" t="s">
        <v>31</v>
      </c>
      <c r="AE35" s="283"/>
      <c r="AF35" s="271"/>
      <c r="AG35" s="147"/>
      <c r="AH35" s="284">
        <f>AVERAGE(AH6:AH33)</f>
        <v>26.607142857142858</v>
      </c>
      <c r="AI35" s="280">
        <f>AVERAGE(AI6:AI33)</f>
        <v>4.2142857142857144</v>
      </c>
      <c r="AJ35" s="281" t="s">
        <v>31</v>
      </c>
      <c r="AK35" s="271"/>
      <c r="AL35" s="285"/>
      <c r="AM35" s="111"/>
      <c r="AO35" s="106"/>
      <c r="AP35" s="106"/>
      <c r="AQ35" s="106"/>
      <c r="AR35" s="107"/>
    </row>
    <row r="36" spans="2:44" ht="16.5" customHeight="1" x14ac:dyDescent="0.3">
      <c r="B36" s="309" t="s">
        <v>33</v>
      </c>
      <c r="C36" s="309"/>
      <c r="D36" s="307"/>
      <c r="E36" s="308"/>
      <c r="F36" s="176"/>
      <c r="G36" s="154">
        <f>SUM(G6:G33)</f>
        <v>524</v>
      </c>
      <c r="H36" s="154">
        <f t="shared" ref="H36:K36" si="7">SUM(H6:H33)</f>
        <v>410</v>
      </c>
      <c r="I36" s="154">
        <f t="shared" si="7"/>
        <v>672</v>
      </c>
      <c r="J36" s="154">
        <f t="shared" si="7"/>
        <v>533</v>
      </c>
      <c r="K36" s="154">
        <f t="shared" si="7"/>
        <v>0</v>
      </c>
      <c r="L36" s="178">
        <f>SUM(L6:L33)</f>
        <v>0</v>
      </c>
      <c r="M36" s="179">
        <f>IF(G36=0, "-", L36/G36)</f>
        <v>0</v>
      </c>
      <c r="N36" s="175" t="s">
        <v>31</v>
      </c>
      <c r="O36" s="175" t="s">
        <v>31</v>
      </c>
      <c r="P36" s="169"/>
      <c r="Q36" s="154">
        <f>SUM(Q6:Q33)</f>
        <v>1196</v>
      </c>
      <c r="R36" s="154">
        <f t="shared" ref="R36" si="8">SUM(R6:R33)</f>
        <v>943</v>
      </c>
      <c r="S36" s="272"/>
      <c r="T36" s="272"/>
      <c r="U36" s="146"/>
      <c r="V36" s="253">
        <f>SUM(V6:V33)</f>
        <v>850</v>
      </c>
      <c r="W36" s="183">
        <f>SUM(W6:W33)</f>
        <v>691</v>
      </c>
      <c r="X36" s="184">
        <f>IF(V36=0, "-", W36/V36)</f>
        <v>0.81294117647058828</v>
      </c>
      <c r="Y36" s="272"/>
      <c r="Z36" s="142"/>
      <c r="AA36" s="146"/>
      <c r="AB36" s="214">
        <f>SUM(AB6:AB33)</f>
        <v>740</v>
      </c>
      <c r="AC36" s="215">
        <f>SUM(AC6:AC33)</f>
        <v>542</v>
      </c>
      <c r="AD36" s="216">
        <f>IF(AB36=0, "-", AC36/AB36)</f>
        <v>0.73243243243243239</v>
      </c>
      <c r="AE36" s="217"/>
      <c r="AF36" s="272"/>
      <c r="AG36" s="218"/>
      <c r="AH36" s="219">
        <f>SUM(AH6:AH33)</f>
        <v>745</v>
      </c>
      <c r="AI36" s="220">
        <f>SUM(AI6:AI33)</f>
        <v>118</v>
      </c>
      <c r="AJ36" s="221">
        <f>IF(AH36=0, "-", AI36/AH36)</f>
        <v>0.15838926174496645</v>
      </c>
      <c r="AK36" s="272"/>
      <c r="AL36" s="213"/>
    </row>
    <row r="37" spans="2:44" ht="16.5" customHeight="1" x14ac:dyDescent="0.3">
      <c r="B37" s="303" t="s">
        <v>42</v>
      </c>
      <c r="C37" s="303"/>
      <c r="D37" s="304"/>
      <c r="E37" s="305"/>
      <c r="F37" s="248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11"/>
      <c r="R37" s="111"/>
      <c r="S37" s="111"/>
      <c r="T37" s="111"/>
      <c r="U37" s="174"/>
      <c r="V37" s="180">
        <f>G36+V36</f>
        <v>1374</v>
      </c>
      <c r="W37" s="181">
        <f>L36+W36</f>
        <v>691</v>
      </c>
      <c r="X37" s="182">
        <f>IF(V37=0, "-", W37/V37)</f>
        <v>0.50291120815138279</v>
      </c>
      <c r="Y37" s="111"/>
      <c r="Z37" s="142"/>
      <c r="AA37" s="147"/>
      <c r="AB37" s="170"/>
      <c r="AC37" s="171"/>
      <c r="AD37" s="172"/>
      <c r="AE37" s="173"/>
      <c r="AF37" s="111"/>
      <c r="AG37" s="111"/>
      <c r="AH37" s="248"/>
      <c r="AI37" s="191"/>
      <c r="AJ37" s="192"/>
      <c r="AK37" s="111"/>
      <c r="AL37" s="140"/>
    </row>
    <row r="38" spans="2:44" ht="16.5" customHeight="1" x14ac:dyDescent="0.3">
      <c r="AH38" s="107"/>
      <c r="AI38" s="107"/>
      <c r="AJ38" s="107"/>
      <c r="AL38" s="107"/>
    </row>
    <row r="39" spans="2:44" ht="16.5" customHeight="1" x14ac:dyDescent="0.3">
      <c r="AH39" s="107"/>
      <c r="AI39" s="107"/>
      <c r="AJ39" s="107"/>
      <c r="AL39" s="107"/>
      <c r="AN39" s="159">
        <v>1</v>
      </c>
      <c r="AO39" s="160"/>
    </row>
    <row r="40" spans="2:44" x14ac:dyDescent="0.3">
      <c r="AN40" s="157">
        <v>0.9</v>
      </c>
      <c r="AO40" s="156"/>
    </row>
    <row r="41" spans="2:44" x14ac:dyDescent="0.3">
      <c r="AN41" s="157">
        <v>0.7</v>
      </c>
      <c r="AO41" s="157"/>
    </row>
    <row r="42" spans="2:44" x14ac:dyDescent="0.3">
      <c r="AN42" s="157">
        <v>0.5</v>
      </c>
      <c r="AO42" s="157"/>
    </row>
    <row r="43" spans="2:44" x14ac:dyDescent="0.3">
      <c r="AN43" s="158">
        <v>0</v>
      </c>
      <c r="AO43" s="157"/>
    </row>
    <row r="46" spans="2:44" x14ac:dyDescent="0.3">
      <c r="AO46" s="195"/>
      <c r="AP46" s="162"/>
    </row>
  </sheetData>
  <mergeCells count="23">
    <mergeCell ref="B35:C35"/>
    <mergeCell ref="D35:E35"/>
    <mergeCell ref="B36:C36"/>
    <mergeCell ref="D36:E36"/>
    <mergeCell ref="B37:C37"/>
    <mergeCell ref="D37:E37"/>
    <mergeCell ref="AR3:AR5"/>
    <mergeCell ref="G4:H4"/>
    <mergeCell ref="I4:J4"/>
    <mergeCell ref="K4:L4"/>
    <mergeCell ref="N4:N5"/>
    <mergeCell ref="O4:O5"/>
    <mergeCell ref="P4:P5"/>
    <mergeCell ref="B2:AN2"/>
    <mergeCell ref="AP2:AR2"/>
    <mergeCell ref="B3:B5"/>
    <mergeCell ref="D3:D5"/>
    <mergeCell ref="E3:E5"/>
    <mergeCell ref="G3:P3"/>
    <mergeCell ref="V3:Z3"/>
    <mergeCell ref="AB3:AE3"/>
    <mergeCell ref="AH3:AL3"/>
    <mergeCell ref="AN3:AQ3"/>
  </mergeCells>
  <phoneticPr fontId="1" type="noConversion"/>
  <conditionalFormatting sqref="AN39:AN43 X6:X34 M6:O34 AD6:AD34 AJ6:AJ34">
    <cfRule type="iconSet" priority="2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G6:K34">
    <cfRule type="dataBar" priority="3">
      <dataBar>
        <cfvo type="min"/>
        <cfvo type="max"/>
        <color rgb="FF63C384"/>
      </dataBar>
    </cfRule>
  </conditionalFormatting>
  <conditionalFormatting sqref="L6:L34">
    <cfRule type="dataBar" priority="4">
      <dataBar>
        <cfvo type="min"/>
        <cfvo type="max"/>
        <color rgb="FF63C384"/>
      </dataBar>
    </cfRule>
  </conditionalFormatting>
  <conditionalFormatting sqref="V6:W34">
    <cfRule type="dataBar" priority="5">
      <dataBar>
        <cfvo type="min"/>
        <cfvo type="max"/>
        <color rgb="FF63C384"/>
      </dataBar>
    </cfRule>
  </conditionalFormatting>
  <conditionalFormatting sqref="AH6:AI34 AB6:AC34">
    <cfRule type="dataBar" priority="6">
      <dataBar>
        <cfvo type="min"/>
        <cfvo type="max"/>
        <color rgb="FF63C384"/>
      </dataBar>
    </cfRule>
  </conditionalFormatting>
  <conditionalFormatting sqref="AN6:AN34">
    <cfRule type="colorScale" priority="7">
      <colorScale>
        <cfvo type="min"/>
        <cfvo type="max"/>
        <color rgb="FFFFEF9C"/>
        <color rgb="FF63BE7B"/>
      </colorScale>
    </cfRule>
  </conditionalFormatting>
  <conditionalFormatting sqref="S6:S34">
    <cfRule type="iconSet" priority="1">
      <iconSet iconSet="4TrafficLights">
        <cfvo type="percent" val="0"/>
        <cfvo type="percent" val="50"/>
        <cfvo type="percent" val="70"/>
        <cfvo type="percent" val="90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showGridLines="0" zoomScale="90" zoomScaleNormal="90" workbookViewId="0">
      <selection activeCell="W32" sqref="W32"/>
    </sheetView>
  </sheetViews>
  <sheetFormatPr defaultRowHeight="12" x14ac:dyDescent="0.3"/>
  <cols>
    <col min="1" max="1" width="1.25" style="102" customWidth="1"/>
    <col min="2" max="2" width="4" style="102" bestFit="1" customWidth="1"/>
    <col min="3" max="3" width="18.75" style="102" bestFit="1" customWidth="1"/>
    <col min="4" max="5" width="9.25" style="102" customWidth="1"/>
    <col min="6" max="6" width="9.25" style="139" customWidth="1"/>
    <col min="7" max="9" width="9.25" style="102" customWidth="1"/>
    <col min="10" max="16384" width="9" style="102"/>
  </cols>
  <sheetData>
    <row r="1" spans="2:9" ht="5.25" customHeight="1" x14ac:dyDescent="0.3"/>
    <row r="2" spans="2:9" ht="20.25" x14ac:dyDescent="0.3">
      <c r="B2" s="287" t="s">
        <v>141</v>
      </c>
      <c r="C2" s="287"/>
      <c r="D2" s="287"/>
      <c r="E2" s="287"/>
      <c r="F2" s="287"/>
      <c r="G2" s="287"/>
      <c r="H2" s="287"/>
      <c r="I2" s="287"/>
    </row>
    <row r="3" spans="2:9" x14ac:dyDescent="0.3">
      <c r="B3" s="245"/>
      <c r="C3" s="244" t="s">
        <v>125</v>
      </c>
      <c r="D3" s="274" t="s">
        <v>135</v>
      </c>
      <c r="E3" s="274" t="s">
        <v>136</v>
      </c>
      <c r="F3" s="274" t="s">
        <v>137</v>
      </c>
      <c r="G3" s="274" t="s">
        <v>138</v>
      </c>
      <c r="H3" s="274" t="s">
        <v>139</v>
      </c>
      <c r="I3" s="274" t="s">
        <v>140</v>
      </c>
    </row>
    <row r="4" spans="2:9" ht="16.5" customHeight="1" x14ac:dyDescent="0.3">
      <c r="B4" s="114">
        <v>1</v>
      </c>
      <c r="C4" s="114" t="str">
        <f>[1]Summary!$B$7</f>
        <v>Cortex-M3</v>
      </c>
      <c r="D4" s="114">
        <v>75</v>
      </c>
      <c r="E4" s="114">
        <v>85</v>
      </c>
      <c r="F4" s="114">
        <v>90</v>
      </c>
      <c r="G4" s="114">
        <v>70</v>
      </c>
      <c r="H4" s="114">
        <v>85</v>
      </c>
      <c r="I4" s="114">
        <v>30</v>
      </c>
    </row>
    <row r="5" spans="2:9" ht="16.5" customHeight="1" x14ac:dyDescent="0.3">
      <c r="B5" s="196">
        <v>2</v>
      </c>
      <c r="C5" s="196" t="str">
        <f>[2]Summary!$B$7</f>
        <v>HCT</v>
      </c>
      <c r="D5" s="196">
        <v>25</v>
      </c>
      <c r="E5" s="196">
        <v>5</v>
      </c>
      <c r="F5" s="196">
        <v>80</v>
      </c>
      <c r="G5" s="196">
        <v>25</v>
      </c>
      <c r="H5" s="196">
        <v>7</v>
      </c>
      <c r="I5" s="196">
        <v>85</v>
      </c>
    </row>
    <row r="6" spans="2:9" ht="16.5" customHeight="1" x14ac:dyDescent="0.3">
      <c r="B6" s="114">
        <v>3</v>
      </c>
      <c r="C6" s="114" t="str">
        <f>[3]Summary!$B$7</f>
        <v>FCT</v>
      </c>
      <c r="D6" s="114">
        <v>30</v>
      </c>
      <c r="E6" s="114">
        <v>25</v>
      </c>
      <c r="F6" s="114">
        <v>30</v>
      </c>
      <c r="G6" s="114">
        <v>50</v>
      </c>
      <c r="H6" s="114">
        <v>7</v>
      </c>
      <c r="I6" s="114">
        <v>8</v>
      </c>
    </row>
    <row r="7" spans="2:9" ht="16.5" customHeight="1" x14ac:dyDescent="0.3">
      <c r="B7" s="196">
        <v>4</v>
      </c>
      <c r="C7" s="196" t="str">
        <f>[4]Summary!$B$7</f>
        <v>Buffer Manager</v>
      </c>
      <c r="D7" s="196">
        <v>50</v>
      </c>
      <c r="E7" s="196">
        <v>60</v>
      </c>
      <c r="F7" s="196">
        <v>70</v>
      </c>
      <c r="G7" s="196">
        <v>80</v>
      </c>
      <c r="H7" s="196">
        <v>50</v>
      </c>
      <c r="I7" s="196">
        <v>20</v>
      </c>
    </row>
    <row r="8" spans="2:9" ht="16.5" customHeight="1" x14ac:dyDescent="0.3">
      <c r="B8" s="114">
        <v>5</v>
      </c>
      <c r="C8" s="114" t="str">
        <f>[5]Summary!$B$7</f>
        <v>Search Engine</v>
      </c>
      <c r="D8" s="114">
        <v>25</v>
      </c>
      <c r="E8" s="114">
        <v>25</v>
      </c>
      <c r="F8" s="114">
        <v>30</v>
      </c>
      <c r="G8" s="114">
        <v>30</v>
      </c>
      <c r="H8" s="114">
        <v>30</v>
      </c>
      <c r="I8" s="114">
        <v>50</v>
      </c>
    </row>
    <row r="9" spans="2:9" ht="16.5" customHeight="1" x14ac:dyDescent="0.3">
      <c r="B9" s="196">
        <v>6</v>
      </c>
      <c r="C9" s="196" t="str">
        <f>[6]Summary!$B$7</f>
        <v>MTSE</v>
      </c>
      <c r="D9" s="196"/>
      <c r="E9" s="196"/>
      <c r="F9" s="196"/>
      <c r="G9" s="196"/>
      <c r="H9" s="196"/>
      <c r="I9" s="196"/>
    </row>
    <row r="10" spans="2:9" ht="16.5" customHeight="1" x14ac:dyDescent="0.3">
      <c r="B10" s="114">
        <v>7</v>
      </c>
      <c r="C10" s="114" t="str">
        <f>[7]Summary!$B$7</f>
        <v>System Memory</v>
      </c>
      <c r="D10" s="114"/>
      <c r="E10" s="114"/>
      <c r="F10" s="114"/>
      <c r="G10" s="114"/>
      <c r="H10" s="114"/>
      <c r="I10" s="114"/>
    </row>
    <row r="11" spans="2:9" ht="16.5" customHeight="1" x14ac:dyDescent="0.3">
      <c r="B11" s="196">
        <v>8</v>
      </c>
      <c r="C11" s="196" t="str">
        <f>[8]Summary!$B$7</f>
        <v>Data Buffer</v>
      </c>
      <c r="D11" s="196"/>
      <c r="E11" s="196"/>
      <c r="F11" s="196"/>
      <c r="G11" s="196"/>
      <c r="H11" s="196"/>
      <c r="I11" s="196"/>
    </row>
    <row r="12" spans="2:9" ht="16.5" customHeight="1" x14ac:dyDescent="0.3">
      <c r="B12" s="114">
        <v>9</v>
      </c>
      <c r="C12" s="114" t="str">
        <f>[9]Summary!$B$7</f>
        <v>DMA</v>
      </c>
      <c r="D12" s="114"/>
      <c r="E12" s="114"/>
      <c r="F12" s="114"/>
      <c r="G12" s="114"/>
      <c r="H12" s="114"/>
      <c r="I12" s="114"/>
    </row>
    <row r="13" spans="2:9" ht="16.5" customHeight="1" x14ac:dyDescent="0.3">
      <c r="B13" s="196">
        <v>10</v>
      </c>
      <c r="C13" s="196" t="str">
        <f>[10]Summary!$B$7</f>
        <v>Back Bone</v>
      </c>
      <c r="D13" s="196"/>
      <c r="E13" s="196"/>
      <c r="F13" s="196"/>
      <c r="G13" s="196"/>
      <c r="H13" s="196"/>
      <c r="I13" s="196"/>
    </row>
    <row r="14" spans="2:9" ht="16.5" customHeight="1" x14ac:dyDescent="0.3">
      <c r="B14" s="114">
        <v>11</v>
      </c>
      <c r="C14" s="114" t="str">
        <f>[11]Summary!$B$7</f>
        <v>System Controller</v>
      </c>
      <c r="D14" s="114"/>
      <c r="E14" s="114"/>
      <c r="F14" s="114"/>
      <c r="G14" s="114"/>
      <c r="H14" s="114"/>
      <c r="I14" s="114"/>
    </row>
    <row r="15" spans="2:9" ht="16.5" customHeight="1" x14ac:dyDescent="0.3">
      <c r="B15" s="196">
        <v>12</v>
      </c>
      <c r="C15" s="196" t="str">
        <f>[12]Summary!$B$7</f>
        <v>PMU</v>
      </c>
      <c r="D15" s="196"/>
      <c r="E15" s="196"/>
      <c r="F15" s="196"/>
      <c r="G15" s="196"/>
      <c r="H15" s="196"/>
      <c r="I15" s="196"/>
    </row>
    <row r="16" spans="2:9" ht="16.5" customHeight="1" x14ac:dyDescent="0.3">
      <c r="B16" s="114">
        <v>13</v>
      </c>
      <c r="C16" s="114" t="str">
        <f>[13]Summary!$B$7</f>
        <v>RPMB</v>
      </c>
      <c r="D16" s="114"/>
      <c r="E16" s="114"/>
      <c r="F16" s="114"/>
      <c r="G16" s="114"/>
      <c r="H16" s="114"/>
      <c r="I16" s="114"/>
    </row>
    <row r="17" spans="2:9" ht="16.5" customHeight="1" x14ac:dyDescent="0.3">
      <c r="B17" s="196">
        <v>14</v>
      </c>
      <c r="C17" s="196" t="str">
        <f>[14]Summary!$B$7</f>
        <v>Mail Box</v>
      </c>
      <c r="D17" s="196"/>
      <c r="E17" s="196"/>
      <c r="F17" s="196"/>
      <c r="G17" s="196"/>
      <c r="H17" s="196"/>
      <c r="I17" s="196"/>
    </row>
    <row r="18" spans="2:9" ht="16.5" customHeight="1" x14ac:dyDescent="0.3">
      <c r="B18" s="114">
        <v>15</v>
      </c>
      <c r="C18" s="114" t="str">
        <f>[15]Summary!$B$7</f>
        <v>Timer</v>
      </c>
      <c r="D18" s="114"/>
      <c r="E18" s="114"/>
      <c r="F18" s="114"/>
      <c r="G18" s="114"/>
      <c r="H18" s="114"/>
      <c r="I18" s="114"/>
    </row>
    <row r="19" spans="2:9" ht="16.5" customHeight="1" x14ac:dyDescent="0.3">
      <c r="B19" s="196">
        <v>16</v>
      </c>
      <c r="C19" s="196" t="str">
        <f>[16]Summary!$B$7</f>
        <v>WDT</v>
      </c>
      <c r="D19" s="196"/>
      <c r="E19" s="196"/>
      <c r="F19" s="196"/>
      <c r="G19" s="196"/>
      <c r="H19" s="196"/>
      <c r="I19" s="196"/>
    </row>
    <row r="20" spans="2:9" ht="16.5" customHeight="1" x14ac:dyDescent="0.3">
      <c r="B20" s="114">
        <v>17</v>
      </c>
      <c r="C20" s="114" t="str">
        <f>[17]Summary!$B$7</f>
        <v>UART</v>
      </c>
      <c r="D20" s="114"/>
      <c r="E20" s="114"/>
      <c r="F20" s="114"/>
      <c r="G20" s="114"/>
      <c r="H20" s="114"/>
      <c r="I20" s="114"/>
    </row>
    <row r="21" spans="2:9" ht="16.5" customHeight="1" x14ac:dyDescent="0.3">
      <c r="B21" s="196">
        <v>18</v>
      </c>
      <c r="C21" s="196" t="str">
        <f>[18]Summary!$B$7</f>
        <v>Clock Controller</v>
      </c>
      <c r="D21" s="196"/>
      <c r="E21" s="196"/>
      <c r="F21" s="196"/>
      <c r="G21" s="196"/>
      <c r="H21" s="196"/>
      <c r="I21" s="196"/>
    </row>
    <row r="22" spans="2:9" ht="16.5" customHeight="1" x14ac:dyDescent="0.3">
      <c r="B22" s="114">
        <v>19</v>
      </c>
      <c r="C22" s="114" t="str">
        <f>[19]Summary!$B$7</f>
        <v>Reset Controller</v>
      </c>
      <c r="D22" s="114"/>
      <c r="E22" s="114"/>
      <c r="F22" s="114"/>
      <c r="G22" s="114"/>
      <c r="H22" s="114"/>
      <c r="I22" s="114"/>
    </row>
    <row r="23" spans="2:9" ht="16.5" customHeight="1" x14ac:dyDescent="0.3">
      <c r="B23" s="196">
        <v>20</v>
      </c>
      <c r="C23" s="196" t="str">
        <f>[20]Summary!$B$7</f>
        <v>eFuse Controller</v>
      </c>
      <c r="D23" s="196"/>
      <c r="E23" s="196"/>
      <c r="F23" s="196"/>
      <c r="G23" s="196"/>
      <c r="H23" s="196"/>
      <c r="I23" s="196"/>
    </row>
    <row r="24" spans="2:9" ht="16.5" customHeight="1" x14ac:dyDescent="0.3">
      <c r="B24" s="114">
        <v>21</v>
      </c>
      <c r="C24" s="114" t="str">
        <f>[21]Summary!$B$7</f>
        <v>M-PHY</v>
      </c>
      <c r="D24" s="114"/>
      <c r="E24" s="114"/>
      <c r="F24" s="114"/>
      <c r="G24" s="114"/>
      <c r="H24" s="114"/>
      <c r="I24" s="114"/>
    </row>
    <row r="25" spans="2:9" ht="16.5" customHeight="1" x14ac:dyDescent="0.3">
      <c r="B25" s="196">
        <v>22</v>
      </c>
      <c r="C25" s="196" t="str">
        <f>[22]Summary!$B$7</f>
        <v>Nand PHY</v>
      </c>
      <c r="D25" s="196"/>
      <c r="E25" s="196"/>
      <c r="F25" s="196"/>
      <c r="G25" s="196"/>
      <c r="H25" s="196"/>
      <c r="I25" s="196"/>
    </row>
    <row r="26" spans="2:9" ht="16.5" customHeight="1" x14ac:dyDescent="0.3">
      <c r="B26" s="114">
        <v>23</v>
      </c>
      <c r="C26" s="114" t="str">
        <f>[23]Summary!$B$7</f>
        <v>Nand IO</v>
      </c>
      <c r="D26" s="114"/>
      <c r="E26" s="114"/>
      <c r="F26" s="114"/>
      <c r="G26" s="114"/>
      <c r="H26" s="114"/>
      <c r="I26" s="114"/>
    </row>
    <row r="27" spans="2:9" ht="16.5" customHeight="1" x14ac:dyDescent="0.3">
      <c r="B27" s="196">
        <v>24</v>
      </c>
      <c r="C27" s="196" t="str">
        <f>[24]Summary!$B$7</f>
        <v>Test Mux</v>
      </c>
      <c r="D27" s="196"/>
      <c r="E27" s="196"/>
      <c r="F27" s="196"/>
      <c r="G27" s="196"/>
      <c r="H27" s="196"/>
      <c r="I27" s="196"/>
    </row>
    <row r="28" spans="2:9" ht="16.5" customHeight="1" x14ac:dyDescent="0.3">
      <c r="B28" s="114">
        <v>25</v>
      </c>
      <c r="C28" s="114" t="str">
        <f>[25]Summary!$B$7</f>
        <v>HW Bypass</v>
      </c>
      <c r="D28" s="114"/>
      <c r="E28" s="114"/>
      <c r="F28" s="114"/>
      <c r="G28" s="114"/>
      <c r="H28" s="114"/>
      <c r="I28" s="114"/>
    </row>
    <row r="29" spans="2:9" ht="16.5" customHeight="1" x14ac:dyDescent="0.3">
      <c r="B29" s="196">
        <v>26</v>
      </c>
      <c r="C29" s="196" t="str">
        <f>[26]Summary!$B$7</f>
        <v>Analog IP</v>
      </c>
      <c r="D29" s="196"/>
      <c r="E29" s="196"/>
      <c r="F29" s="196"/>
      <c r="G29" s="196"/>
      <c r="H29" s="196"/>
      <c r="I29" s="196"/>
    </row>
    <row r="30" spans="2:9" ht="16.5" customHeight="1" x14ac:dyDescent="0.3">
      <c r="B30" s="114">
        <v>27</v>
      </c>
      <c r="C30" s="114" t="str">
        <f>[27]Summary!$B$7</f>
        <v>GPIO</v>
      </c>
      <c r="D30" s="114"/>
      <c r="E30" s="114"/>
      <c r="F30" s="114"/>
      <c r="G30" s="114"/>
      <c r="H30" s="114"/>
      <c r="I30" s="114"/>
    </row>
    <row r="31" spans="2:9" ht="16.5" customHeight="1" x14ac:dyDescent="0.3">
      <c r="B31" s="164" t="s">
        <v>71</v>
      </c>
      <c r="C31" s="164" t="str">
        <f>[28]Summary!$B$7</f>
        <v>End to End</v>
      </c>
      <c r="D31" s="164"/>
      <c r="E31" s="164"/>
      <c r="F31" s="164"/>
      <c r="G31" s="164"/>
      <c r="H31" s="164"/>
      <c r="I31" s="164"/>
    </row>
    <row r="32" spans="2:9" ht="16.5" customHeight="1" x14ac:dyDescent="0.3">
      <c r="B32" s="164" t="s">
        <v>71</v>
      </c>
      <c r="C32" s="164" t="str">
        <f>[29]Summary!$B$7</f>
        <v>Post-Silicon Validation</v>
      </c>
      <c r="D32" s="164"/>
      <c r="E32" s="164"/>
      <c r="F32" s="164"/>
      <c r="G32" s="164"/>
      <c r="H32" s="164"/>
      <c r="I32" s="164"/>
    </row>
    <row r="33" spans="2:9" ht="16.5" customHeight="1" x14ac:dyDescent="0.3">
      <c r="B33" s="313" t="s">
        <v>32</v>
      </c>
      <c r="C33" s="314"/>
      <c r="D33" s="271"/>
      <c r="E33" s="271"/>
      <c r="F33" s="279"/>
      <c r="G33" s="279"/>
      <c r="H33" s="280"/>
      <c r="I33" s="281"/>
    </row>
    <row r="34" spans="2:9" ht="16.5" customHeight="1" x14ac:dyDescent="0.3">
      <c r="B34" s="313" t="s">
        <v>33</v>
      </c>
      <c r="C34" s="314"/>
      <c r="D34" s="272"/>
      <c r="E34" s="272"/>
      <c r="F34" s="247"/>
      <c r="G34" s="247"/>
      <c r="H34" s="183"/>
      <c r="I34" s="184"/>
    </row>
    <row r="35" spans="2:9" ht="16.5" customHeight="1" x14ac:dyDescent="0.3">
      <c r="B35" s="315" t="s">
        <v>42</v>
      </c>
      <c r="C35" s="316"/>
      <c r="D35" s="180" t="e">
        <f>#REF!+D34</f>
        <v>#REF!</v>
      </c>
      <c r="E35" s="180" t="e">
        <f>#REF!+E34</f>
        <v>#REF!</v>
      </c>
      <c r="F35" s="180" t="e">
        <f>#REF!+F34</f>
        <v>#REF!</v>
      </c>
      <c r="G35" s="180" t="e">
        <f>#REF!+G34</f>
        <v>#REF!</v>
      </c>
      <c r="H35" s="181" t="e">
        <f>#REF!+H34</f>
        <v>#REF!</v>
      </c>
      <c r="I35" s="182" t="e">
        <f>IF(G35=0, "-", H35/G35)</f>
        <v>#REF!</v>
      </c>
    </row>
    <row r="36" spans="2:9" ht="16.5" customHeight="1" x14ac:dyDescent="0.3"/>
    <row r="37" spans="2:9" ht="16.5" customHeight="1" x14ac:dyDescent="0.3"/>
  </sheetData>
  <mergeCells count="4">
    <mergeCell ref="B33:C33"/>
    <mergeCell ref="B34:C34"/>
    <mergeCell ref="B35:C35"/>
    <mergeCell ref="B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4"/>
  <sheetViews>
    <sheetView zoomScale="70" zoomScaleNormal="70" workbookViewId="0">
      <selection activeCell="W23" sqref="W23"/>
    </sheetView>
  </sheetViews>
  <sheetFormatPr defaultColWidth="8.625" defaultRowHeight="16.5" x14ac:dyDescent="0.3"/>
  <cols>
    <col min="1" max="1" width="2" style="223" customWidth="1"/>
    <col min="2" max="2" width="5" style="223" customWidth="1"/>
    <col min="3" max="6" width="8.625" style="223"/>
    <col min="7" max="7" width="9.125" style="223" customWidth="1"/>
    <col min="8" max="16384" width="8.625" style="223"/>
  </cols>
  <sheetData>
    <row r="2" spans="2:17" s="222" customFormat="1" ht="26.25" x14ac:dyDescent="0.45">
      <c r="B2" s="317" t="s">
        <v>78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9"/>
    </row>
    <row r="3" spans="2:17" x14ac:dyDescent="0.3">
      <c r="B3" s="320" t="s">
        <v>79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</row>
    <row r="4" spans="2:17" x14ac:dyDescent="0.3"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</row>
    <row r="5" spans="2:17" ht="17.25" x14ac:dyDescent="0.3">
      <c r="B5" s="224"/>
      <c r="C5" s="224"/>
      <c r="D5" s="224"/>
      <c r="E5" s="224"/>
      <c r="F5" s="321"/>
      <c r="G5" s="322"/>
      <c r="H5" s="323"/>
      <c r="I5" s="324" t="s">
        <v>80</v>
      </c>
      <c r="J5" s="325"/>
      <c r="K5" s="325"/>
      <c r="L5" s="325"/>
      <c r="M5" s="325"/>
      <c r="N5" s="325"/>
      <c r="O5" s="325"/>
      <c r="P5" s="325"/>
      <c r="Q5" s="326"/>
    </row>
    <row r="6" spans="2:17" ht="17.25" x14ac:dyDescent="0.3">
      <c r="B6" s="224"/>
      <c r="C6" s="224"/>
      <c r="D6" s="224"/>
      <c r="E6" s="224"/>
      <c r="F6" s="327" t="s">
        <v>81</v>
      </c>
      <c r="G6" s="328"/>
      <c r="H6" s="329"/>
      <c r="I6" s="330" t="s">
        <v>82</v>
      </c>
      <c r="J6" s="331"/>
      <c r="K6" s="332"/>
      <c r="L6" s="333" t="s">
        <v>83</v>
      </c>
      <c r="M6" s="334"/>
      <c r="N6" s="335"/>
      <c r="O6" s="333" t="s">
        <v>84</v>
      </c>
      <c r="P6" s="334"/>
      <c r="Q6" s="335"/>
    </row>
    <row r="7" spans="2:17" ht="17.25" customHeight="1" x14ac:dyDescent="0.3">
      <c r="B7" s="224"/>
      <c r="C7" s="224"/>
      <c r="D7" s="224"/>
      <c r="E7" s="224"/>
      <c r="F7" s="327" t="s">
        <v>85</v>
      </c>
      <c r="G7" s="328"/>
      <c r="H7" s="329"/>
      <c r="I7" s="338" t="s">
        <v>86</v>
      </c>
      <c r="J7" s="339"/>
      <c r="K7" s="340"/>
      <c r="L7" s="338" t="s">
        <v>86</v>
      </c>
      <c r="M7" s="339"/>
      <c r="N7" s="340"/>
      <c r="O7" s="338" t="s">
        <v>86</v>
      </c>
      <c r="P7" s="339"/>
      <c r="Q7" s="340"/>
    </row>
    <row r="8" spans="2:17" ht="17.25" customHeight="1" x14ac:dyDescent="0.3">
      <c r="B8" s="224"/>
      <c r="C8" s="224"/>
      <c r="D8" s="224"/>
      <c r="E8" s="224"/>
      <c r="F8" s="327" t="s">
        <v>87</v>
      </c>
      <c r="G8" s="328"/>
      <c r="H8" s="329"/>
      <c r="I8" s="341" t="s">
        <v>88</v>
      </c>
      <c r="J8" s="342"/>
      <c r="K8" s="343"/>
      <c r="L8" s="341" t="s">
        <v>89</v>
      </c>
      <c r="M8" s="342"/>
      <c r="N8" s="343"/>
      <c r="O8" s="341" t="s">
        <v>90</v>
      </c>
      <c r="P8" s="342"/>
      <c r="Q8" s="343"/>
    </row>
    <row r="9" spans="2:17" x14ac:dyDescent="0.3"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</row>
    <row r="10" spans="2:17" ht="20.25" x14ac:dyDescent="0.3">
      <c r="B10" s="344" t="s">
        <v>91</v>
      </c>
      <c r="C10" s="344"/>
      <c r="D10" s="344"/>
      <c r="E10" s="344"/>
      <c r="F10" s="344"/>
      <c r="G10" s="225"/>
      <c r="H10" s="225"/>
      <c r="I10" s="225"/>
      <c r="J10" s="345"/>
      <c r="K10" s="345"/>
      <c r="L10" s="345"/>
      <c r="M10" s="345"/>
      <c r="N10" s="345"/>
      <c r="O10" s="345"/>
      <c r="P10" s="345"/>
      <c r="Q10" s="345"/>
    </row>
    <row r="11" spans="2:17" ht="17.25" x14ac:dyDescent="0.3">
      <c r="B11" s="346" t="s">
        <v>92</v>
      </c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</row>
    <row r="13" spans="2:17" ht="20.25" x14ac:dyDescent="0.3">
      <c r="B13" s="226" t="s">
        <v>93</v>
      </c>
      <c r="C13" s="226"/>
      <c r="D13" s="226"/>
      <c r="E13" s="226"/>
    </row>
    <row r="14" spans="2:17" ht="17.25" x14ac:dyDescent="0.3">
      <c r="B14" s="347" t="s">
        <v>94</v>
      </c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</row>
    <row r="15" spans="2:17" ht="17.25" x14ac:dyDescent="0.3"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</row>
    <row r="16" spans="2:17" ht="20.25" x14ac:dyDescent="0.3">
      <c r="B16" s="226" t="s">
        <v>95</v>
      </c>
      <c r="C16" s="226"/>
      <c r="D16" s="226"/>
      <c r="E16" s="226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</row>
    <row r="17" spans="1:17" ht="17.25" customHeight="1" x14ac:dyDescent="0.3">
      <c r="B17" s="227"/>
      <c r="C17" s="348" t="s">
        <v>96</v>
      </c>
      <c r="D17" s="349"/>
      <c r="E17" s="228" t="s">
        <v>97</v>
      </c>
      <c r="F17" s="229"/>
      <c r="G17" s="230"/>
      <c r="H17" s="231" t="s">
        <v>98</v>
      </c>
      <c r="I17" s="231" t="s">
        <v>99</v>
      </c>
      <c r="J17" s="231" t="s">
        <v>100</v>
      </c>
      <c r="K17" s="231" t="s">
        <v>101</v>
      </c>
      <c r="L17" s="231" t="s">
        <v>102</v>
      </c>
      <c r="M17" s="231" t="s">
        <v>103</v>
      </c>
      <c r="N17" s="231" t="s">
        <v>104</v>
      </c>
      <c r="O17" s="231" t="s">
        <v>105</v>
      </c>
      <c r="P17" s="231" t="s">
        <v>106</v>
      </c>
      <c r="Q17" s="231" t="s">
        <v>107</v>
      </c>
    </row>
    <row r="18" spans="1:17" ht="17.25" customHeight="1" x14ac:dyDescent="0.3">
      <c r="B18" s="227"/>
      <c r="C18" s="336" t="s">
        <v>108</v>
      </c>
      <c r="D18" s="337"/>
      <c r="E18" s="228" t="s">
        <v>109</v>
      </c>
      <c r="F18" s="229"/>
      <c r="G18" s="232" t="s">
        <v>110</v>
      </c>
      <c r="H18" s="233" t="s">
        <v>109</v>
      </c>
      <c r="I18" s="233" t="s">
        <v>109</v>
      </c>
      <c r="J18" s="233" t="s">
        <v>109</v>
      </c>
      <c r="K18" s="233" t="s">
        <v>97</v>
      </c>
      <c r="L18" s="233" t="s">
        <v>109</v>
      </c>
      <c r="M18" s="233" t="s">
        <v>109</v>
      </c>
      <c r="N18" s="233" t="s">
        <v>109</v>
      </c>
      <c r="O18" s="233" t="s">
        <v>109</v>
      </c>
      <c r="P18" s="234"/>
      <c r="Q18" s="233" t="s">
        <v>109</v>
      </c>
    </row>
    <row r="19" spans="1:17" ht="17.25" customHeight="1" x14ac:dyDescent="0.3">
      <c r="B19" s="227"/>
      <c r="C19" s="336" t="s">
        <v>111</v>
      </c>
      <c r="D19" s="337"/>
      <c r="E19" s="235"/>
      <c r="F19" s="229"/>
      <c r="G19" s="232" t="s">
        <v>112</v>
      </c>
      <c r="H19" s="234"/>
      <c r="I19" s="234"/>
      <c r="J19" s="234"/>
      <c r="K19" s="234"/>
      <c r="L19" s="234"/>
      <c r="M19" s="234"/>
      <c r="N19" s="234"/>
      <c r="O19" s="234"/>
      <c r="P19" s="234"/>
      <c r="Q19" s="234"/>
    </row>
    <row r="20" spans="1:17" ht="17.25" customHeight="1" x14ac:dyDescent="0.3">
      <c r="B20" s="227"/>
      <c r="C20" s="227"/>
      <c r="D20" s="227"/>
      <c r="E20" s="227"/>
      <c r="F20" s="227"/>
      <c r="G20" s="232" t="s">
        <v>113</v>
      </c>
      <c r="H20" s="234"/>
      <c r="I20" s="234"/>
      <c r="J20" s="234"/>
      <c r="K20" s="236" t="s">
        <v>109</v>
      </c>
      <c r="L20" s="236" t="s">
        <v>109</v>
      </c>
      <c r="M20" s="236" t="s">
        <v>109</v>
      </c>
      <c r="N20" s="236" t="s">
        <v>109</v>
      </c>
      <c r="O20" s="234"/>
      <c r="P20" s="234"/>
      <c r="Q20" s="234"/>
    </row>
    <row r="21" spans="1:17" ht="17.25" customHeight="1" x14ac:dyDescent="0.3">
      <c r="B21" s="227"/>
      <c r="C21" s="227"/>
      <c r="D21" s="227"/>
      <c r="E21" s="227"/>
      <c r="F21" s="227"/>
      <c r="G21" s="232" t="s">
        <v>114</v>
      </c>
      <c r="H21" s="234"/>
      <c r="I21" s="234"/>
      <c r="J21" s="234"/>
      <c r="K21" s="236" t="s">
        <v>109</v>
      </c>
      <c r="L21" s="236" t="s">
        <v>109</v>
      </c>
      <c r="M21" s="234"/>
      <c r="N21" s="234"/>
      <c r="O21" s="234"/>
      <c r="P21" s="234"/>
      <c r="Q21" s="234"/>
    </row>
    <row r="22" spans="1:17" ht="17.25" customHeight="1" x14ac:dyDescent="0.3">
      <c r="B22" s="237"/>
      <c r="C22" s="237"/>
      <c r="D22" s="237"/>
      <c r="E22" s="237"/>
      <c r="F22" s="237"/>
      <c r="G22" s="232" t="s">
        <v>115</v>
      </c>
      <c r="H22" s="234"/>
      <c r="I22" s="234"/>
      <c r="J22" s="234"/>
      <c r="K22" s="234"/>
      <c r="L22" s="234"/>
      <c r="M22" s="234"/>
      <c r="N22" s="234"/>
      <c r="O22" s="234"/>
      <c r="P22" s="234"/>
      <c r="Q22" s="234"/>
    </row>
    <row r="23" spans="1:17" ht="17.25" x14ac:dyDescent="0.3">
      <c r="B23" s="237"/>
      <c r="C23" s="237"/>
      <c r="D23" s="237"/>
      <c r="E23" s="237"/>
      <c r="F23" s="237"/>
      <c r="G23" s="238"/>
      <c r="H23" s="239"/>
      <c r="I23" s="239"/>
      <c r="J23" s="237"/>
      <c r="K23" s="237"/>
      <c r="L23" s="237"/>
      <c r="M23" s="237"/>
      <c r="N23" s="237"/>
      <c r="O23" s="237"/>
      <c r="P23" s="237"/>
      <c r="Q23" s="237"/>
    </row>
    <row r="24" spans="1:17" ht="20.25" x14ac:dyDescent="0.3">
      <c r="B24" s="226" t="s">
        <v>116</v>
      </c>
      <c r="C24" s="226"/>
      <c r="D24" s="226"/>
      <c r="E24" s="226"/>
    </row>
    <row r="25" spans="1:17" x14ac:dyDescent="0.3">
      <c r="A25" s="240"/>
      <c r="B25" s="359"/>
      <c r="C25" s="350" t="s">
        <v>117</v>
      </c>
      <c r="D25" s="352"/>
      <c r="E25" s="350" t="s">
        <v>118</v>
      </c>
      <c r="F25" s="351"/>
      <c r="G25" s="352"/>
      <c r="H25" s="350" t="s">
        <v>96</v>
      </c>
      <c r="I25" s="351"/>
      <c r="J25" s="352"/>
      <c r="K25" s="350" t="s">
        <v>119</v>
      </c>
      <c r="L25" s="351"/>
      <c r="M25" s="351"/>
      <c r="N25" s="351"/>
      <c r="O25" s="351"/>
      <c r="P25" s="351"/>
      <c r="Q25" s="352"/>
    </row>
    <row r="26" spans="1:17" ht="17.25" customHeight="1" x14ac:dyDescent="0.3">
      <c r="A26" s="240"/>
      <c r="B26" s="359"/>
      <c r="C26" s="353" t="s">
        <v>120</v>
      </c>
      <c r="D26" s="354"/>
      <c r="E26" s="353" t="s">
        <v>121</v>
      </c>
      <c r="F26" s="355"/>
      <c r="G26" s="354"/>
      <c r="H26" s="353" t="s">
        <v>122</v>
      </c>
      <c r="I26" s="355"/>
      <c r="J26" s="354"/>
      <c r="K26" s="356" t="s">
        <v>123</v>
      </c>
      <c r="L26" s="357"/>
      <c r="M26" s="357"/>
      <c r="N26" s="357"/>
      <c r="O26" s="357"/>
      <c r="P26" s="357"/>
      <c r="Q26" s="358"/>
    </row>
    <row r="27" spans="1:17" ht="17.25" x14ac:dyDescent="0.3">
      <c r="A27" s="240"/>
      <c r="B27" s="359"/>
      <c r="C27" s="360"/>
      <c r="D27" s="361"/>
      <c r="E27" s="360"/>
      <c r="F27" s="362"/>
      <c r="G27" s="361"/>
      <c r="H27" s="360"/>
      <c r="I27" s="362"/>
      <c r="J27" s="361"/>
      <c r="K27" s="363"/>
      <c r="L27" s="364"/>
      <c r="M27" s="364"/>
      <c r="N27" s="364"/>
      <c r="O27" s="364"/>
      <c r="P27" s="364"/>
      <c r="Q27" s="365"/>
    </row>
    <row r="28" spans="1:17" ht="17.25" x14ac:dyDescent="0.3">
      <c r="A28" s="240"/>
      <c r="B28" s="359"/>
      <c r="C28" s="366"/>
      <c r="D28" s="367"/>
      <c r="E28" s="366"/>
      <c r="F28" s="368"/>
      <c r="G28" s="367"/>
      <c r="H28" s="366"/>
      <c r="I28" s="368"/>
      <c r="J28" s="367"/>
      <c r="K28" s="369"/>
      <c r="L28" s="370"/>
      <c r="M28" s="370"/>
      <c r="N28" s="370"/>
      <c r="O28" s="370"/>
      <c r="P28" s="370"/>
      <c r="Q28" s="371"/>
    </row>
    <row r="29" spans="1:17" ht="16.5" customHeight="1" x14ac:dyDescent="0.3">
      <c r="B29" s="359"/>
    </row>
    <row r="30" spans="1:17" ht="20.25" x14ac:dyDescent="0.3">
      <c r="B30" s="226" t="s">
        <v>124</v>
      </c>
    </row>
    <row r="34" spans="14:16" x14ac:dyDescent="0.3">
      <c r="N34" s="241"/>
      <c r="O34" s="241"/>
      <c r="P34" s="241"/>
    </row>
  </sheetData>
  <mergeCells count="40">
    <mergeCell ref="K27:Q27"/>
    <mergeCell ref="C28:D28"/>
    <mergeCell ref="E28:G28"/>
    <mergeCell ref="H28:J28"/>
    <mergeCell ref="K28:Q28"/>
    <mergeCell ref="C19:D19"/>
    <mergeCell ref="B25:B29"/>
    <mergeCell ref="C25:D25"/>
    <mergeCell ref="E25:G25"/>
    <mergeCell ref="H25:J25"/>
    <mergeCell ref="C27:D27"/>
    <mergeCell ref="E27:G27"/>
    <mergeCell ref="H27:J27"/>
    <mergeCell ref="K25:Q25"/>
    <mergeCell ref="C26:D26"/>
    <mergeCell ref="E26:G26"/>
    <mergeCell ref="H26:J26"/>
    <mergeCell ref="K26:Q26"/>
    <mergeCell ref="C18:D18"/>
    <mergeCell ref="F7:H7"/>
    <mergeCell ref="I7:K7"/>
    <mergeCell ref="L7:N7"/>
    <mergeCell ref="O7:Q7"/>
    <mergeCell ref="F8:H8"/>
    <mergeCell ref="I8:K8"/>
    <mergeCell ref="L8:N8"/>
    <mergeCell ref="O8:Q8"/>
    <mergeCell ref="B10:F10"/>
    <mergeCell ref="J10:Q10"/>
    <mergeCell ref="B11:Q11"/>
    <mergeCell ref="B14:Q14"/>
    <mergeCell ref="C17:D17"/>
    <mergeCell ref="B2:Q2"/>
    <mergeCell ref="B3:Q3"/>
    <mergeCell ref="F5:H5"/>
    <mergeCell ref="I5:Q5"/>
    <mergeCell ref="F6:H6"/>
    <mergeCell ref="I6:K6"/>
    <mergeCell ref="L6:N6"/>
    <mergeCell ref="O6:Q6"/>
  </mergeCells>
  <phoneticPr fontId="1" type="noConversion"/>
  <hyperlinks>
    <hyperlink ref="O7" r:id="rId1"/>
    <hyperlink ref="L7" r:id="rId2"/>
    <hyperlink ref="I7" r:id="rId3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46"/>
  <sheetViews>
    <sheetView showGridLines="0" zoomScale="90" zoomScaleNormal="90" workbookViewId="0">
      <selection activeCell="AD63" sqref="AD63"/>
    </sheetView>
  </sheetViews>
  <sheetFormatPr defaultRowHeight="12" outlineLevelCol="1" x14ac:dyDescent="0.3"/>
  <cols>
    <col min="1" max="1" width="1.25" style="102" customWidth="1"/>
    <col min="2" max="2" width="4" style="102" bestFit="1" customWidth="1"/>
    <col min="3" max="3" width="18.75" style="102" bestFit="1" customWidth="1"/>
    <col min="4" max="5" width="9.875" style="102" customWidth="1" outlineLevel="1"/>
    <col min="6" max="6" width="0.5" style="139" customWidth="1"/>
    <col min="7" max="11" width="5.875" style="102" customWidth="1"/>
    <col min="12" max="12" width="6.75" style="102" customWidth="1"/>
    <col min="13" max="13" width="8.25" style="102" customWidth="1"/>
    <col min="14" max="14" width="8.125" style="102" customWidth="1"/>
    <col min="15" max="15" width="7.25" style="102" customWidth="1"/>
    <col min="16" max="16" width="5.25" style="102" customWidth="1"/>
    <col min="17" max="17" width="0.5" style="139" customWidth="1"/>
    <col min="18" max="18" width="5.875" style="102" customWidth="1"/>
    <col min="19" max="19" width="7.375" style="102" customWidth="1"/>
    <col min="20" max="20" width="8.25" style="102" customWidth="1"/>
    <col min="21" max="21" width="5.25" style="102" customWidth="1"/>
    <col min="22" max="22" width="0.5" style="139" customWidth="1"/>
    <col min="23" max="23" width="5.75" style="102" customWidth="1" outlineLevel="1"/>
    <col min="24" max="24" width="6.375" style="102" customWidth="1" outlineLevel="1"/>
    <col min="25" max="25" width="8.125" style="102" customWidth="1" outlineLevel="1"/>
    <col min="26" max="26" width="5.25" style="102" customWidth="1" outlineLevel="1"/>
    <col min="27" max="27" width="0.5" style="139" customWidth="1" outlineLevel="1"/>
    <col min="28" max="28" width="5.75" style="102" customWidth="1" outlineLevel="1"/>
    <col min="29" max="29" width="6.375" style="102" customWidth="1" outlineLevel="1"/>
    <col min="30" max="30" width="8.125" style="102" customWidth="1" outlineLevel="1"/>
    <col min="31" max="31" width="5.25" style="102" customWidth="1" outlineLevel="1"/>
    <col min="32" max="32" width="0.5" style="140" customWidth="1" outlineLevel="1"/>
    <col min="33" max="33" width="8" style="102" bestFit="1" customWidth="1"/>
    <col min="34" max="36" width="5.625" style="102" customWidth="1"/>
    <col min="37" max="37" width="37.375" style="102" customWidth="1"/>
    <col min="38" max="16384" width="9" style="102"/>
  </cols>
  <sheetData>
    <row r="1" spans="2:37" ht="5.25" customHeight="1" x14ac:dyDescent="0.3"/>
    <row r="2" spans="2:37" ht="26.25" x14ac:dyDescent="0.3">
      <c r="B2" s="287" t="s">
        <v>73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185"/>
      <c r="AI2" s="288">
        <v>42138</v>
      </c>
      <c r="AJ2" s="288"/>
      <c r="AK2" s="288"/>
    </row>
    <row r="3" spans="2:37" x14ac:dyDescent="0.3">
      <c r="B3" s="289" t="s">
        <v>1</v>
      </c>
      <c r="C3" s="289" t="s">
        <v>2</v>
      </c>
      <c r="D3" s="291" t="s">
        <v>16</v>
      </c>
      <c r="E3" s="293" t="s">
        <v>17</v>
      </c>
      <c r="F3" s="145"/>
      <c r="G3" s="295" t="s">
        <v>36</v>
      </c>
      <c r="H3" s="295"/>
      <c r="I3" s="295"/>
      <c r="J3" s="295"/>
      <c r="K3" s="295"/>
      <c r="L3" s="289"/>
      <c r="M3" s="289"/>
      <c r="N3" s="289"/>
      <c r="O3" s="289"/>
      <c r="P3" s="296"/>
      <c r="Q3" s="144"/>
      <c r="R3" s="295" t="s">
        <v>14</v>
      </c>
      <c r="S3" s="289"/>
      <c r="T3" s="289"/>
      <c r="U3" s="296"/>
      <c r="V3" s="144"/>
      <c r="W3" s="295" t="s">
        <v>37</v>
      </c>
      <c r="X3" s="289"/>
      <c r="Y3" s="289"/>
      <c r="Z3" s="296"/>
      <c r="AA3" s="187"/>
      <c r="AB3" s="297" t="s">
        <v>38</v>
      </c>
      <c r="AC3" s="298"/>
      <c r="AD3" s="298"/>
      <c r="AE3" s="300"/>
      <c r="AF3" s="189"/>
      <c r="AG3" s="302" t="s">
        <v>12</v>
      </c>
      <c r="AH3" s="302"/>
      <c r="AI3" s="302"/>
      <c r="AJ3" s="295"/>
      <c r="AK3" s="289" t="s">
        <v>9</v>
      </c>
    </row>
    <row r="4" spans="2:37" x14ac:dyDescent="0.3">
      <c r="B4" s="290"/>
      <c r="C4" s="290"/>
      <c r="D4" s="292"/>
      <c r="E4" s="294"/>
      <c r="F4" s="145"/>
      <c r="G4" s="296" t="s">
        <v>74</v>
      </c>
      <c r="H4" s="295"/>
      <c r="I4" s="296" t="s">
        <v>75</v>
      </c>
      <c r="J4" s="295"/>
      <c r="K4" s="296" t="s">
        <v>76</v>
      </c>
      <c r="L4" s="295"/>
      <c r="M4" s="193" t="s">
        <v>77</v>
      </c>
      <c r="N4" s="292" t="s">
        <v>40</v>
      </c>
      <c r="O4" s="292" t="s">
        <v>41</v>
      </c>
      <c r="P4" s="292" t="s">
        <v>10</v>
      </c>
      <c r="Q4" s="144"/>
      <c r="R4" s="290" t="s">
        <v>0</v>
      </c>
      <c r="S4" s="290" t="s">
        <v>7</v>
      </c>
      <c r="T4" s="290" t="s">
        <v>39</v>
      </c>
      <c r="U4" s="292" t="s">
        <v>10</v>
      </c>
      <c r="V4" s="144"/>
      <c r="W4" s="290" t="s">
        <v>0</v>
      </c>
      <c r="X4" s="290" t="s">
        <v>7</v>
      </c>
      <c r="Y4" s="290" t="s">
        <v>39</v>
      </c>
      <c r="Z4" s="292" t="s">
        <v>10</v>
      </c>
      <c r="AA4" s="187"/>
      <c r="AB4" s="372" t="s">
        <v>0</v>
      </c>
      <c r="AC4" s="290" t="s">
        <v>7</v>
      </c>
      <c r="AD4" s="290" t="s">
        <v>39</v>
      </c>
      <c r="AE4" s="375" t="s">
        <v>10</v>
      </c>
      <c r="AF4" s="189"/>
      <c r="AG4" s="291" t="s">
        <v>19</v>
      </c>
      <c r="AH4" s="291" t="s">
        <v>5</v>
      </c>
      <c r="AI4" s="291" t="s">
        <v>14</v>
      </c>
      <c r="AJ4" s="291" t="s">
        <v>38</v>
      </c>
      <c r="AK4" s="290"/>
    </row>
    <row r="5" spans="2:37" x14ac:dyDescent="0.3">
      <c r="B5" s="290"/>
      <c r="C5" s="290"/>
      <c r="D5" s="292"/>
      <c r="E5" s="294"/>
      <c r="F5" s="145"/>
      <c r="G5" s="154" t="s">
        <v>0</v>
      </c>
      <c r="H5" s="193" t="s">
        <v>7</v>
      </c>
      <c r="I5" s="154" t="s">
        <v>0</v>
      </c>
      <c r="J5" s="193" t="s">
        <v>7</v>
      </c>
      <c r="K5" s="154" t="s">
        <v>0</v>
      </c>
      <c r="L5" s="193" t="s">
        <v>7</v>
      </c>
      <c r="M5" s="103" t="s">
        <v>39</v>
      </c>
      <c r="N5" s="312"/>
      <c r="O5" s="312"/>
      <c r="P5" s="312"/>
      <c r="Q5" s="145"/>
      <c r="R5" s="374"/>
      <c r="S5" s="374"/>
      <c r="T5" s="374"/>
      <c r="U5" s="312"/>
      <c r="V5" s="145"/>
      <c r="W5" s="374"/>
      <c r="X5" s="374"/>
      <c r="Y5" s="374"/>
      <c r="Z5" s="312"/>
      <c r="AA5" s="188"/>
      <c r="AB5" s="373"/>
      <c r="AC5" s="374"/>
      <c r="AD5" s="374"/>
      <c r="AE5" s="376"/>
      <c r="AF5" s="190"/>
      <c r="AG5" s="291"/>
      <c r="AH5" s="291"/>
      <c r="AI5" s="291"/>
      <c r="AJ5" s="291"/>
      <c r="AK5" s="290"/>
    </row>
    <row r="6" spans="2:37" x14ac:dyDescent="0.3">
      <c r="B6" s="114">
        <v>1</v>
      </c>
      <c r="C6" s="114" t="str">
        <f>[1]Summary!$B$7</f>
        <v>Cortex-M3</v>
      </c>
      <c r="D6" s="114" t="str">
        <f>[1]Summary!$C$7</f>
        <v>최호윤 수석</v>
      </c>
      <c r="E6" s="141" t="str">
        <f>[1]Summary!$D$7</f>
        <v>조성엽 책임</v>
      </c>
      <c r="F6" s="146"/>
      <c r="G6" s="155">
        <f>[1]Summary!$E$7</f>
        <v>0</v>
      </c>
      <c r="H6" s="155">
        <f>[1]Summary!$F$7</f>
        <v>0</v>
      </c>
      <c r="I6" s="155">
        <f>[1]Summary!$G$7</f>
        <v>0</v>
      </c>
      <c r="J6" s="155">
        <f>[1]Summary!$H$7</f>
        <v>0</v>
      </c>
      <c r="K6" s="155">
        <f>[1]Summary!$I$7</f>
        <v>0</v>
      </c>
      <c r="L6" s="115">
        <f>[1]Summary!$J$7</f>
        <v>0</v>
      </c>
      <c r="M6" s="116" t="str">
        <f>[1]Summary!$K$7</f>
        <v>-</v>
      </c>
      <c r="N6" s="116">
        <f>[1]Summary!$L$7</f>
        <v>0</v>
      </c>
      <c r="O6" s="116">
        <f>[1]Summary!$M$7</f>
        <v>0</v>
      </c>
      <c r="P6" s="141" t="str">
        <f>[1]Summary!$N$7</f>
        <v>-</v>
      </c>
      <c r="Q6" s="146"/>
      <c r="R6" s="155">
        <f>[1]Summary!$O$7</f>
        <v>0</v>
      </c>
      <c r="S6" s="115">
        <f>[1]Summary!$P$7</f>
        <v>0</v>
      </c>
      <c r="T6" s="116" t="str">
        <f>[1]Summary!$Q$7</f>
        <v>-</v>
      </c>
      <c r="U6" s="141" t="str">
        <f>[1]Summary!$R$7</f>
        <v>-</v>
      </c>
      <c r="V6" s="146"/>
      <c r="W6" s="155">
        <f>[1]Summary!$S$7</f>
        <v>0</v>
      </c>
      <c r="X6" s="115">
        <f>[1]Summary!$T$7</f>
        <v>0</v>
      </c>
      <c r="Y6" s="116" t="str">
        <f>[1]Summary!$U$7</f>
        <v>-</v>
      </c>
      <c r="Z6" s="141" t="str">
        <f>[1]Summary!$V$7</f>
        <v>-</v>
      </c>
      <c r="AA6" s="147"/>
      <c r="AB6" s="205">
        <f>[1]Summary!$W$7</f>
        <v>0</v>
      </c>
      <c r="AC6" s="115">
        <f>[1]Summary!$X$7</f>
        <v>0</v>
      </c>
      <c r="AD6" s="116" t="str">
        <f>[1]Summary!$Y$7</f>
        <v>-</v>
      </c>
      <c r="AE6" s="206" t="str">
        <f>[1]Summary!$Z$7</f>
        <v>-</v>
      </c>
      <c r="AF6" s="174"/>
      <c r="AG6" s="143">
        <f>[1]Summary!$AA$7</f>
        <v>42138</v>
      </c>
      <c r="AH6" s="114" t="str">
        <f>[1]Summary!$AB$7</f>
        <v>?</v>
      </c>
      <c r="AI6" s="114" t="str">
        <f>[1]Summary!$AC$7</f>
        <v>?</v>
      </c>
      <c r="AJ6" s="114" t="str">
        <f>[1]Summary!$AD$7</f>
        <v>?</v>
      </c>
      <c r="AK6" s="117" t="str">
        <f>[1]Summary!$AE$7</f>
        <v xml:space="preserve">RTL:
POST:
FPGA: </v>
      </c>
    </row>
    <row r="7" spans="2:37" x14ac:dyDescent="0.3">
      <c r="B7" s="196">
        <v>2</v>
      </c>
      <c r="C7" s="196" t="str">
        <f>[2]Summary!$B$7</f>
        <v>HCT</v>
      </c>
      <c r="D7" s="196" t="str">
        <f>[2]Summary!$C$7</f>
        <v>이원규 선임</v>
      </c>
      <c r="E7" s="197" t="str">
        <f>[2]Summary!$D$7</f>
        <v>박재우 책임</v>
      </c>
      <c r="F7" s="146"/>
      <c r="G7" s="198">
        <f>[2]Summary!$E$7</f>
        <v>0</v>
      </c>
      <c r="H7" s="198">
        <f>[2]Summary!$F$7</f>
        <v>0</v>
      </c>
      <c r="I7" s="198">
        <f>[2]Summary!$G$7</f>
        <v>0</v>
      </c>
      <c r="J7" s="198">
        <f>[2]Summary!$H$7</f>
        <v>0</v>
      </c>
      <c r="K7" s="198">
        <f>[2]Summary!$I$7</f>
        <v>0</v>
      </c>
      <c r="L7" s="199">
        <f>[2]Summary!$J$7</f>
        <v>0</v>
      </c>
      <c r="M7" s="200" t="str">
        <f>[2]Summary!$K$7</f>
        <v>-</v>
      </c>
      <c r="N7" s="200">
        <f>[2]Summary!$L$7</f>
        <v>0</v>
      </c>
      <c r="O7" s="200">
        <f>[2]Summary!$M$7</f>
        <v>0</v>
      </c>
      <c r="P7" s="197" t="str">
        <f>[2]Summary!$N$7</f>
        <v>-</v>
      </c>
      <c r="Q7" s="146"/>
      <c r="R7" s="198">
        <f>[2]Summary!$O$7</f>
        <v>0</v>
      </c>
      <c r="S7" s="199">
        <f>[2]Summary!$P$7</f>
        <v>0</v>
      </c>
      <c r="T7" s="200" t="str">
        <f>[2]Summary!$Q$7</f>
        <v>-</v>
      </c>
      <c r="U7" s="197" t="str">
        <f>[2]Summary!$R$7</f>
        <v>-</v>
      </c>
      <c r="V7" s="146"/>
      <c r="W7" s="198">
        <f>[2]Summary!$S$7</f>
        <v>0</v>
      </c>
      <c r="X7" s="199">
        <f>[2]Summary!$T$7</f>
        <v>0</v>
      </c>
      <c r="Y7" s="200" t="str">
        <f>[2]Summary!$U$7</f>
        <v>-</v>
      </c>
      <c r="Z7" s="197" t="str">
        <f>[2]Summary!$V$7</f>
        <v>-</v>
      </c>
      <c r="AA7" s="147"/>
      <c r="AB7" s="207">
        <f>[2]Summary!$W$7</f>
        <v>0</v>
      </c>
      <c r="AC7" s="199">
        <f>[2]Summary!$X$7</f>
        <v>0</v>
      </c>
      <c r="AD7" s="200" t="str">
        <f>[2]Summary!$Y$7</f>
        <v>-</v>
      </c>
      <c r="AE7" s="208" t="str">
        <f>[2]Summary!$Z$7</f>
        <v>-</v>
      </c>
      <c r="AF7" s="174"/>
      <c r="AG7" s="201">
        <f>[2]Summary!$AA$7</f>
        <v>42138</v>
      </c>
      <c r="AH7" s="196" t="str">
        <f>[2]Summary!$AB$7</f>
        <v>?</v>
      </c>
      <c r="AI7" s="196" t="str">
        <f>[2]Summary!$AC$7</f>
        <v>?</v>
      </c>
      <c r="AJ7" s="196" t="str">
        <f>[2]Summary!$AD$7</f>
        <v>?</v>
      </c>
      <c r="AK7" s="202" t="str">
        <f>[2]Summary!$AE$7</f>
        <v xml:space="preserve">RTL:
POST:
FPGA: </v>
      </c>
    </row>
    <row r="8" spans="2:37" x14ac:dyDescent="0.3">
      <c r="B8" s="114">
        <v>3</v>
      </c>
      <c r="C8" s="114" t="str">
        <f>[3]Summary!$B$7</f>
        <v>FCT</v>
      </c>
      <c r="D8" s="114" t="str">
        <f>[3]Summary!$C$7</f>
        <v>천동엽 책임</v>
      </c>
      <c r="E8" s="141" t="str">
        <f>[3]Summary!$D$7</f>
        <v>조성엽 책임</v>
      </c>
      <c r="F8" s="146"/>
      <c r="G8" s="155">
        <f>[3]Summary!$E$7</f>
        <v>0</v>
      </c>
      <c r="H8" s="155">
        <f>[3]Summary!$F$7</f>
        <v>0</v>
      </c>
      <c r="I8" s="155">
        <f>[3]Summary!$G$7</f>
        <v>0</v>
      </c>
      <c r="J8" s="155">
        <f>[3]Summary!$H$7</f>
        <v>0</v>
      </c>
      <c r="K8" s="155">
        <f>[3]Summary!$I$7</f>
        <v>0</v>
      </c>
      <c r="L8" s="115">
        <f>[3]Summary!$J$7</f>
        <v>0</v>
      </c>
      <c r="M8" s="116" t="str">
        <f>[3]Summary!$K$7</f>
        <v>-</v>
      </c>
      <c r="N8" s="116">
        <f>[3]Summary!$L$7</f>
        <v>0</v>
      </c>
      <c r="O8" s="116">
        <f>[3]Summary!$M$7</f>
        <v>0</v>
      </c>
      <c r="P8" s="141" t="str">
        <f>[3]Summary!$N$7</f>
        <v>-</v>
      </c>
      <c r="Q8" s="146"/>
      <c r="R8" s="155">
        <f>[3]Summary!$O$7</f>
        <v>0</v>
      </c>
      <c r="S8" s="115">
        <f>[3]Summary!$P$7</f>
        <v>0</v>
      </c>
      <c r="T8" s="116" t="str">
        <f>[3]Summary!$Q$7</f>
        <v>-</v>
      </c>
      <c r="U8" s="141" t="str">
        <f>[3]Summary!$R$7</f>
        <v>-</v>
      </c>
      <c r="V8" s="146"/>
      <c r="W8" s="155">
        <f>[3]Summary!$S$7</f>
        <v>0</v>
      </c>
      <c r="X8" s="115">
        <f>[3]Summary!$T$7</f>
        <v>0</v>
      </c>
      <c r="Y8" s="116" t="str">
        <f>[3]Summary!$U$7</f>
        <v>-</v>
      </c>
      <c r="Z8" s="141" t="str">
        <f>[3]Summary!$V$7</f>
        <v>-</v>
      </c>
      <c r="AA8" s="147"/>
      <c r="AB8" s="205">
        <f>[3]Summary!$W$7</f>
        <v>0</v>
      </c>
      <c r="AC8" s="115">
        <f>[3]Summary!$X$7</f>
        <v>0</v>
      </c>
      <c r="AD8" s="116" t="str">
        <f>[3]Summary!$Y$7</f>
        <v>-</v>
      </c>
      <c r="AE8" s="206" t="str">
        <f>[3]Summary!$Z$7</f>
        <v>-</v>
      </c>
      <c r="AF8" s="174"/>
      <c r="AG8" s="143">
        <f>[3]Summary!$AA$7</f>
        <v>42138</v>
      </c>
      <c r="AH8" s="114" t="str">
        <f>[3]Summary!$AB$7</f>
        <v>?</v>
      </c>
      <c r="AI8" s="114" t="str">
        <f>[3]Summary!$AC$7</f>
        <v>?</v>
      </c>
      <c r="AJ8" s="114" t="str">
        <f>[3]Summary!$AD$7</f>
        <v>?</v>
      </c>
      <c r="AK8" s="117" t="str">
        <f>[3]Summary!$AE$7</f>
        <v xml:space="preserve">RTL:
POST:
FPGA: </v>
      </c>
    </row>
    <row r="9" spans="2:37" x14ac:dyDescent="0.3">
      <c r="B9" s="196">
        <v>4</v>
      </c>
      <c r="C9" s="196" t="str">
        <f>[4]Summary!$B$7</f>
        <v>Buffer Manager</v>
      </c>
      <c r="D9" s="196" t="str">
        <f>[4]Summary!$C$7</f>
        <v>지대근 책임</v>
      </c>
      <c r="E9" s="197" t="str">
        <f>[4]Summary!$D$7</f>
        <v>조성엽 책임</v>
      </c>
      <c r="F9" s="146"/>
      <c r="G9" s="198">
        <f>[4]Summary!$E$7</f>
        <v>0</v>
      </c>
      <c r="H9" s="198">
        <f>[4]Summary!$F$7</f>
        <v>0</v>
      </c>
      <c r="I9" s="198">
        <f>[4]Summary!$G$7</f>
        <v>0</v>
      </c>
      <c r="J9" s="198">
        <f>[4]Summary!$H$7</f>
        <v>0</v>
      </c>
      <c r="K9" s="198">
        <f>[4]Summary!$I$7</f>
        <v>0</v>
      </c>
      <c r="L9" s="199">
        <f>[4]Summary!$J$7</f>
        <v>0</v>
      </c>
      <c r="M9" s="200" t="str">
        <f>[4]Summary!$K$7</f>
        <v>-</v>
      </c>
      <c r="N9" s="200">
        <f>[4]Summary!$L$7</f>
        <v>0</v>
      </c>
      <c r="O9" s="200">
        <f>[4]Summary!$M$7</f>
        <v>0</v>
      </c>
      <c r="P9" s="197" t="str">
        <f>[4]Summary!$N$7</f>
        <v>-</v>
      </c>
      <c r="Q9" s="146"/>
      <c r="R9" s="198">
        <f>[4]Summary!$O$7</f>
        <v>0</v>
      </c>
      <c r="S9" s="199">
        <f>[4]Summary!$P$7</f>
        <v>0</v>
      </c>
      <c r="T9" s="200" t="str">
        <f>[4]Summary!$Q$7</f>
        <v>-</v>
      </c>
      <c r="U9" s="197" t="str">
        <f>[4]Summary!$R$7</f>
        <v>-</v>
      </c>
      <c r="V9" s="146"/>
      <c r="W9" s="198">
        <f>[4]Summary!$S$7</f>
        <v>0</v>
      </c>
      <c r="X9" s="199">
        <f>[4]Summary!$T$7</f>
        <v>0</v>
      </c>
      <c r="Y9" s="200" t="str">
        <f>[4]Summary!$U$7</f>
        <v>-</v>
      </c>
      <c r="Z9" s="197" t="str">
        <f>[4]Summary!$V$7</f>
        <v>-</v>
      </c>
      <c r="AA9" s="147"/>
      <c r="AB9" s="207">
        <f>[4]Summary!$W$7</f>
        <v>0</v>
      </c>
      <c r="AC9" s="199">
        <f>[4]Summary!$X$7</f>
        <v>0</v>
      </c>
      <c r="AD9" s="200" t="str">
        <f>[4]Summary!$Y$7</f>
        <v>-</v>
      </c>
      <c r="AE9" s="208" t="str">
        <f>[4]Summary!$Z$7</f>
        <v>-</v>
      </c>
      <c r="AF9" s="174"/>
      <c r="AG9" s="201">
        <f>[4]Summary!$AA$7</f>
        <v>42138</v>
      </c>
      <c r="AH9" s="196" t="str">
        <f>[4]Summary!$AB$7</f>
        <v>?</v>
      </c>
      <c r="AI9" s="196" t="str">
        <f>[4]Summary!$AC$7</f>
        <v>?</v>
      </c>
      <c r="AJ9" s="196" t="str">
        <f>[4]Summary!$AD$7</f>
        <v>?</v>
      </c>
      <c r="AK9" s="202" t="str">
        <f>[4]Summary!$AE$7</f>
        <v xml:space="preserve">RTL:
POST:
FPGA: </v>
      </c>
    </row>
    <row r="10" spans="2:37" x14ac:dyDescent="0.3">
      <c r="B10" s="114">
        <v>5</v>
      </c>
      <c r="C10" s="114" t="str">
        <f>[5]Summary!$B$7</f>
        <v>Search Engine</v>
      </c>
      <c r="D10" s="114" t="str">
        <f>[5]Summary!$C$7</f>
        <v>김현욱 선임</v>
      </c>
      <c r="E10" s="141" t="str">
        <f>[5]Summary!$D$7</f>
        <v>김현욱 선임</v>
      </c>
      <c r="F10" s="146"/>
      <c r="G10" s="155">
        <f>[5]Summary!$E$7</f>
        <v>0</v>
      </c>
      <c r="H10" s="155">
        <f>[5]Summary!$F$7</f>
        <v>0</v>
      </c>
      <c r="I10" s="155">
        <f>[5]Summary!$G$7</f>
        <v>0</v>
      </c>
      <c r="J10" s="155">
        <f>[5]Summary!$H$7</f>
        <v>0</v>
      </c>
      <c r="K10" s="155">
        <f>[5]Summary!$I$7</f>
        <v>0</v>
      </c>
      <c r="L10" s="115">
        <f>[5]Summary!$J$7</f>
        <v>0</v>
      </c>
      <c r="M10" s="116" t="str">
        <f>[5]Summary!$K$7</f>
        <v>-</v>
      </c>
      <c r="N10" s="116">
        <f>[5]Summary!$L$7</f>
        <v>0</v>
      </c>
      <c r="O10" s="116">
        <f>[5]Summary!$M$7</f>
        <v>0</v>
      </c>
      <c r="P10" s="141" t="str">
        <f>[5]Summary!$N$7</f>
        <v>-</v>
      </c>
      <c r="Q10" s="146"/>
      <c r="R10" s="155">
        <f>[5]Summary!$O$7</f>
        <v>0</v>
      </c>
      <c r="S10" s="115">
        <f>[5]Summary!$P$7</f>
        <v>0</v>
      </c>
      <c r="T10" s="116" t="str">
        <f>[5]Summary!$Q$7</f>
        <v>-</v>
      </c>
      <c r="U10" s="141" t="str">
        <f>[5]Summary!$R$7</f>
        <v>-</v>
      </c>
      <c r="V10" s="146"/>
      <c r="W10" s="155">
        <f>[5]Summary!$S$7</f>
        <v>0</v>
      </c>
      <c r="X10" s="115">
        <f>[5]Summary!$T$7</f>
        <v>0</v>
      </c>
      <c r="Y10" s="116" t="str">
        <f>[5]Summary!$U$7</f>
        <v>-</v>
      </c>
      <c r="Z10" s="141" t="str">
        <f>[5]Summary!$V$7</f>
        <v>-</v>
      </c>
      <c r="AA10" s="147"/>
      <c r="AB10" s="205">
        <f>[5]Summary!$W$7</f>
        <v>0</v>
      </c>
      <c r="AC10" s="115">
        <f>[5]Summary!$X$7</f>
        <v>0</v>
      </c>
      <c r="AD10" s="116" t="str">
        <f>[5]Summary!$Y$7</f>
        <v>-</v>
      </c>
      <c r="AE10" s="206" t="str">
        <f>[5]Summary!$Z$7</f>
        <v>-</v>
      </c>
      <c r="AF10" s="174"/>
      <c r="AG10" s="143">
        <f>[5]Summary!$AA$7</f>
        <v>42138</v>
      </c>
      <c r="AH10" s="114" t="str">
        <f>[5]Summary!$AB$7</f>
        <v>?</v>
      </c>
      <c r="AI10" s="114" t="str">
        <f>[5]Summary!$AC$7</f>
        <v>?</v>
      </c>
      <c r="AJ10" s="114" t="str">
        <f>[5]Summary!$AD$7</f>
        <v>?</v>
      </c>
      <c r="AK10" s="117" t="str">
        <f>[5]Summary!$AE$7</f>
        <v xml:space="preserve">RTL:
POST:
FPGA: </v>
      </c>
    </row>
    <row r="11" spans="2:37" x14ac:dyDescent="0.3">
      <c r="B11" s="196">
        <v>6</v>
      </c>
      <c r="C11" s="196" t="str">
        <f>[6]Summary!$B$7</f>
        <v>MTSE</v>
      </c>
      <c r="D11" s="196" t="str">
        <f>[6]Summary!$C$7</f>
        <v>김현욱 선임</v>
      </c>
      <c r="E11" s="197" t="str">
        <f>[6]Summary!$D$7</f>
        <v>김현욱 선임</v>
      </c>
      <c r="F11" s="146"/>
      <c r="G11" s="198">
        <f>[6]Summary!$E$7</f>
        <v>0</v>
      </c>
      <c r="H11" s="198">
        <f>[6]Summary!$F$7</f>
        <v>0</v>
      </c>
      <c r="I11" s="198">
        <f>[6]Summary!$G$7</f>
        <v>0</v>
      </c>
      <c r="J11" s="198">
        <f>[6]Summary!$H$7</f>
        <v>0</v>
      </c>
      <c r="K11" s="198">
        <f>[6]Summary!$I$7</f>
        <v>0</v>
      </c>
      <c r="L11" s="199">
        <f>[6]Summary!$J$7</f>
        <v>0</v>
      </c>
      <c r="M11" s="200" t="str">
        <f>[6]Summary!$K$7</f>
        <v>-</v>
      </c>
      <c r="N11" s="200">
        <f>[6]Summary!$L$7</f>
        <v>0</v>
      </c>
      <c r="O11" s="200">
        <f>[6]Summary!$M$7</f>
        <v>0</v>
      </c>
      <c r="P11" s="197" t="str">
        <f>[6]Summary!$N$7</f>
        <v>-</v>
      </c>
      <c r="Q11" s="146"/>
      <c r="R11" s="198">
        <f>[6]Summary!$O$7</f>
        <v>0</v>
      </c>
      <c r="S11" s="199">
        <f>[6]Summary!$P$7</f>
        <v>0</v>
      </c>
      <c r="T11" s="200" t="str">
        <f>[6]Summary!$Q$7</f>
        <v>-</v>
      </c>
      <c r="U11" s="197" t="str">
        <f>[6]Summary!$R$7</f>
        <v>-</v>
      </c>
      <c r="V11" s="146"/>
      <c r="W11" s="198">
        <f>[6]Summary!$S$7</f>
        <v>0</v>
      </c>
      <c r="X11" s="199">
        <f>[6]Summary!$T$7</f>
        <v>0</v>
      </c>
      <c r="Y11" s="200" t="str">
        <f>[6]Summary!$U$7</f>
        <v>-</v>
      </c>
      <c r="Z11" s="197" t="str">
        <f>[6]Summary!$V$7</f>
        <v>-</v>
      </c>
      <c r="AA11" s="147"/>
      <c r="AB11" s="207">
        <f>[6]Summary!$W$7</f>
        <v>0</v>
      </c>
      <c r="AC11" s="199">
        <f>[6]Summary!$X$7</f>
        <v>0</v>
      </c>
      <c r="AD11" s="200" t="str">
        <f>[6]Summary!$Y$7</f>
        <v>-</v>
      </c>
      <c r="AE11" s="208" t="str">
        <f>[6]Summary!$Z$7</f>
        <v>-</v>
      </c>
      <c r="AF11" s="174"/>
      <c r="AG11" s="201">
        <f>[6]Summary!$AA$7</f>
        <v>42138</v>
      </c>
      <c r="AH11" s="196" t="str">
        <f>[6]Summary!$AB$7</f>
        <v>?</v>
      </c>
      <c r="AI11" s="196" t="str">
        <f>[6]Summary!$AC$7</f>
        <v>?</v>
      </c>
      <c r="AJ11" s="196" t="str">
        <f>[6]Summary!$AD$7</f>
        <v>?</v>
      </c>
      <c r="AK11" s="202" t="str">
        <f>[6]Summary!$AE$7</f>
        <v xml:space="preserve">RTL:
POST:
FPGA: </v>
      </c>
    </row>
    <row r="12" spans="2:37" x14ac:dyDescent="0.3">
      <c r="B12" s="114">
        <v>7</v>
      </c>
      <c r="C12" s="114" t="str">
        <f>[7]Summary!$B$7</f>
        <v>System Memory</v>
      </c>
      <c r="D12" s="114" t="str">
        <f>[7]Summary!$C$7</f>
        <v>김현욱 선임</v>
      </c>
      <c r="E12" s="141" t="str">
        <f>[7]Summary!$D$7</f>
        <v>김현욱 선임</v>
      </c>
      <c r="F12" s="146"/>
      <c r="G12" s="155">
        <f>[7]Summary!$E$7</f>
        <v>0</v>
      </c>
      <c r="H12" s="155">
        <f>[7]Summary!$F$7</f>
        <v>0</v>
      </c>
      <c r="I12" s="155">
        <f>[7]Summary!$G$7</f>
        <v>0</v>
      </c>
      <c r="J12" s="155">
        <f>[7]Summary!$H$7</f>
        <v>0</v>
      </c>
      <c r="K12" s="155">
        <f>[7]Summary!$I$7</f>
        <v>0</v>
      </c>
      <c r="L12" s="115">
        <f>[7]Summary!$J$7</f>
        <v>0</v>
      </c>
      <c r="M12" s="116" t="str">
        <f>[7]Summary!$K$7</f>
        <v>-</v>
      </c>
      <c r="N12" s="116">
        <f>[7]Summary!$L$7</f>
        <v>0</v>
      </c>
      <c r="O12" s="116">
        <f>[7]Summary!$M$7</f>
        <v>0</v>
      </c>
      <c r="P12" s="141" t="str">
        <f>[7]Summary!$N$7</f>
        <v>-</v>
      </c>
      <c r="Q12" s="146"/>
      <c r="R12" s="155">
        <f>[7]Summary!$O$7</f>
        <v>0</v>
      </c>
      <c r="S12" s="115">
        <f>[7]Summary!$P$7</f>
        <v>0</v>
      </c>
      <c r="T12" s="116" t="str">
        <f>[7]Summary!$Q$7</f>
        <v>-</v>
      </c>
      <c r="U12" s="141" t="str">
        <f>[7]Summary!$R$7</f>
        <v>-</v>
      </c>
      <c r="V12" s="146"/>
      <c r="W12" s="155">
        <f>[7]Summary!$S$7</f>
        <v>0</v>
      </c>
      <c r="X12" s="115">
        <f>[7]Summary!$T$7</f>
        <v>0</v>
      </c>
      <c r="Y12" s="116" t="str">
        <f>[7]Summary!$U$7</f>
        <v>-</v>
      </c>
      <c r="Z12" s="141" t="str">
        <f>[7]Summary!$V$7</f>
        <v>-</v>
      </c>
      <c r="AA12" s="147"/>
      <c r="AB12" s="205">
        <f>[7]Summary!$W$7</f>
        <v>0</v>
      </c>
      <c r="AC12" s="115">
        <f>[7]Summary!$X$7</f>
        <v>0</v>
      </c>
      <c r="AD12" s="116" t="str">
        <f>[7]Summary!$Y$7</f>
        <v>-</v>
      </c>
      <c r="AE12" s="206" t="str">
        <f>[7]Summary!$Z$7</f>
        <v>-</v>
      </c>
      <c r="AF12" s="174"/>
      <c r="AG12" s="143">
        <f>[7]Summary!$AA$7</f>
        <v>42138</v>
      </c>
      <c r="AH12" s="114" t="str">
        <f>[7]Summary!$AB$7</f>
        <v>?</v>
      </c>
      <c r="AI12" s="114" t="str">
        <f>[7]Summary!$AC$7</f>
        <v>?</v>
      </c>
      <c r="AJ12" s="114" t="str">
        <f>[7]Summary!$AD$7</f>
        <v>?</v>
      </c>
      <c r="AK12" s="117" t="str">
        <f>[7]Summary!$AE$7</f>
        <v xml:space="preserve">RTL:
POST:
FPGA: </v>
      </c>
    </row>
    <row r="13" spans="2:37" x14ac:dyDescent="0.3">
      <c r="B13" s="196">
        <v>8</v>
      </c>
      <c r="C13" s="196" t="str">
        <f>[8]Summary!$B$7</f>
        <v>Data Buffer</v>
      </c>
      <c r="D13" s="196" t="str">
        <f>[8]Summary!$C$7</f>
        <v>김현욱 선임</v>
      </c>
      <c r="E13" s="197" t="str">
        <f>[8]Summary!$D$7</f>
        <v>김현욱 선임</v>
      </c>
      <c r="F13" s="146"/>
      <c r="G13" s="198">
        <f>[8]Summary!$E$7</f>
        <v>0</v>
      </c>
      <c r="H13" s="198">
        <f>[8]Summary!$F$7</f>
        <v>0</v>
      </c>
      <c r="I13" s="198">
        <f>[8]Summary!$G$7</f>
        <v>0</v>
      </c>
      <c r="J13" s="198">
        <f>[8]Summary!$H$7</f>
        <v>0</v>
      </c>
      <c r="K13" s="198">
        <f>[8]Summary!$I$7</f>
        <v>0</v>
      </c>
      <c r="L13" s="199">
        <f>[8]Summary!$J$7</f>
        <v>0</v>
      </c>
      <c r="M13" s="200" t="str">
        <f>[8]Summary!$K$7</f>
        <v>-</v>
      </c>
      <c r="N13" s="200">
        <f>[8]Summary!$L$7</f>
        <v>0</v>
      </c>
      <c r="O13" s="200">
        <f>[8]Summary!$M$7</f>
        <v>0</v>
      </c>
      <c r="P13" s="197" t="str">
        <f>[8]Summary!$N$7</f>
        <v>-</v>
      </c>
      <c r="Q13" s="146"/>
      <c r="R13" s="198">
        <f>[8]Summary!$O$7</f>
        <v>0</v>
      </c>
      <c r="S13" s="199">
        <f>[8]Summary!$P$7</f>
        <v>0</v>
      </c>
      <c r="T13" s="200" t="str">
        <f>[8]Summary!$Q$7</f>
        <v>-</v>
      </c>
      <c r="U13" s="197" t="str">
        <f>[8]Summary!$R$7</f>
        <v>-</v>
      </c>
      <c r="V13" s="146"/>
      <c r="W13" s="198">
        <f>[8]Summary!$S$7</f>
        <v>0</v>
      </c>
      <c r="X13" s="199">
        <f>[8]Summary!$T$7</f>
        <v>0</v>
      </c>
      <c r="Y13" s="200" t="str">
        <f>[8]Summary!$U$7</f>
        <v>-</v>
      </c>
      <c r="Z13" s="197" t="str">
        <f>[8]Summary!$V$7</f>
        <v>-</v>
      </c>
      <c r="AA13" s="147"/>
      <c r="AB13" s="207">
        <f>[8]Summary!$W$7</f>
        <v>0</v>
      </c>
      <c r="AC13" s="199">
        <f>[8]Summary!$X$7</f>
        <v>0</v>
      </c>
      <c r="AD13" s="200" t="str">
        <f>[8]Summary!$Y$7</f>
        <v>-</v>
      </c>
      <c r="AE13" s="208" t="str">
        <f>[8]Summary!$Z$7</f>
        <v>-</v>
      </c>
      <c r="AF13" s="174"/>
      <c r="AG13" s="201">
        <f>[8]Summary!$AA$7</f>
        <v>42138</v>
      </c>
      <c r="AH13" s="196" t="str">
        <f>[8]Summary!$AB$7</f>
        <v>?</v>
      </c>
      <c r="AI13" s="196" t="str">
        <f>[8]Summary!$AC$7</f>
        <v>?</v>
      </c>
      <c r="AJ13" s="196" t="str">
        <f>[8]Summary!$AD$7</f>
        <v>?</v>
      </c>
      <c r="AK13" s="202" t="str">
        <f>[8]Summary!$AE$7</f>
        <v xml:space="preserve">RTL:
POST:
FPGA: </v>
      </c>
    </row>
    <row r="14" spans="2:37" x14ac:dyDescent="0.3">
      <c r="B14" s="114">
        <v>9</v>
      </c>
      <c r="C14" s="114" t="str">
        <f>[9]Summary!$B$7</f>
        <v>DMA</v>
      </c>
      <c r="D14" s="114" t="str">
        <f>[9]Summary!$C$7</f>
        <v>김현욱 선임</v>
      </c>
      <c r="E14" s="141" t="str">
        <f>[9]Summary!$D$7</f>
        <v>김현욱 선임</v>
      </c>
      <c r="F14" s="146"/>
      <c r="G14" s="155">
        <f>[9]Summary!$E$7</f>
        <v>0</v>
      </c>
      <c r="H14" s="155">
        <f>[9]Summary!$F$7</f>
        <v>0</v>
      </c>
      <c r="I14" s="155">
        <f>[9]Summary!$G$7</f>
        <v>0</v>
      </c>
      <c r="J14" s="155">
        <f>[9]Summary!$H$7</f>
        <v>0</v>
      </c>
      <c r="K14" s="155">
        <f>[9]Summary!$I$7</f>
        <v>0</v>
      </c>
      <c r="L14" s="115">
        <f>[9]Summary!$J$7</f>
        <v>0</v>
      </c>
      <c r="M14" s="116" t="str">
        <f>[9]Summary!$K$7</f>
        <v>-</v>
      </c>
      <c r="N14" s="116">
        <f>[9]Summary!$L$7</f>
        <v>0</v>
      </c>
      <c r="O14" s="116">
        <f>[9]Summary!$M$7</f>
        <v>0</v>
      </c>
      <c r="P14" s="141" t="str">
        <f>[9]Summary!$N$7</f>
        <v>-</v>
      </c>
      <c r="Q14" s="146"/>
      <c r="R14" s="155">
        <f>[9]Summary!$O$7</f>
        <v>0</v>
      </c>
      <c r="S14" s="115">
        <f>[9]Summary!$P$7</f>
        <v>0</v>
      </c>
      <c r="T14" s="116" t="str">
        <f>[9]Summary!$Q$7</f>
        <v>-</v>
      </c>
      <c r="U14" s="141" t="str">
        <f>[9]Summary!$R$7</f>
        <v>-</v>
      </c>
      <c r="V14" s="146"/>
      <c r="W14" s="155">
        <f>[9]Summary!$S$7</f>
        <v>0</v>
      </c>
      <c r="X14" s="115">
        <f>[9]Summary!$T$7</f>
        <v>0</v>
      </c>
      <c r="Y14" s="116" t="str">
        <f>[9]Summary!$U$7</f>
        <v>-</v>
      </c>
      <c r="Z14" s="141" t="str">
        <f>[9]Summary!$V$7</f>
        <v>-</v>
      </c>
      <c r="AA14" s="147"/>
      <c r="AB14" s="205">
        <f>[9]Summary!$W$7</f>
        <v>0</v>
      </c>
      <c r="AC14" s="115">
        <f>[9]Summary!$X$7</f>
        <v>0</v>
      </c>
      <c r="AD14" s="116" t="str">
        <f>[9]Summary!$Y$7</f>
        <v>-</v>
      </c>
      <c r="AE14" s="206" t="str">
        <f>[9]Summary!$Z$7</f>
        <v>-</v>
      </c>
      <c r="AF14" s="174"/>
      <c r="AG14" s="143">
        <f>[9]Summary!$AA$7</f>
        <v>42138</v>
      </c>
      <c r="AH14" s="114" t="str">
        <f>[9]Summary!$AB$7</f>
        <v>?</v>
      </c>
      <c r="AI14" s="114" t="str">
        <f>[9]Summary!$AC$7</f>
        <v>?</v>
      </c>
      <c r="AJ14" s="114" t="str">
        <f>[9]Summary!$AD$7</f>
        <v>?</v>
      </c>
      <c r="AK14" s="117" t="str">
        <f>[9]Summary!$AE$7</f>
        <v xml:space="preserve">RTL:
POST:
FPGA: </v>
      </c>
    </row>
    <row r="15" spans="2:37" x14ac:dyDescent="0.3">
      <c r="B15" s="196">
        <v>10</v>
      </c>
      <c r="C15" s="196" t="str">
        <f>[10]Summary!$B$7</f>
        <v>Back Bone</v>
      </c>
      <c r="D15" s="196" t="str">
        <f>[10]Summary!$C$7</f>
        <v>최호윤 수석</v>
      </c>
      <c r="E15" s="197" t="str">
        <f>[10]Summary!$D$7</f>
        <v>최호윤 수석</v>
      </c>
      <c r="F15" s="146"/>
      <c r="G15" s="198">
        <f>[10]Summary!$E$7</f>
        <v>0</v>
      </c>
      <c r="H15" s="198">
        <f>[10]Summary!$F$7</f>
        <v>0</v>
      </c>
      <c r="I15" s="198">
        <f>[10]Summary!$G$7</f>
        <v>0</v>
      </c>
      <c r="J15" s="198">
        <f>[10]Summary!$H$7</f>
        <v>0</v>
      </c>
      <c r="K15" s="198">
        <f>[10]Summary!$I$7</f>
        <v>0</v>
      </c>
      <c r="L15" s="199">
        <f>[10]Summary!$J$7</f>
        <v>0</v>
      </c>
      <c r="M15" s="200" t="str">
        <f>[10]Summary!$K$7</f>
        <v>-</v>
      </c>
      <c r="N15" s="200">
        <f>[10]Summary!$L$7</f>
        <v>0</v>
      </c>
      <c r="O15" s="200">
        <f>[10]Summary!$M$7</f>
        <v>0</v>
      </c>
      <c r="P15" s="197" t="str">
        <f>[10]Summary!$N$7</f>
        <v>-</v>
      </c>
      <c r="Q15" s="146"/>
      <c r="R15" s="198">
        <f>[10]Summary!$O$7</f>
        <v>0</v>
      </c>
      <c r="S15" s="199">
        <f>[10]Summary!$P$7</f>
        <v>0</v>
      </c>
      <c r="T15" s="200" t="str">
        <f>[10]Summary!$Q$7</f>
        <v>-</v>
      </c>
      <c r="U15" s="197" t="str">
        <f>[10]Summary!$R$7</f>
        <v>-</v>
      </c>
      <c r="V15" s="146"/>
      <c r="W15" s="198">
        <f>[10]Summary!$S$7</f>
        <v>0</v>
      </c>
      <c r="X15" s="199">
        <f>[10]Summary!$T$7</f>
        <v>0</v>
      </c>
      <c r="Y15" s="200" t="str">
        <f>[10]Summary!$U$7</f>
        <v>-</v>
      </c>
      <c r="Z15" s="197" t="str">
        <f>[10]Summary!$V$7</f>
        <v>-</v>
      </c>
      <c r="AA15" s="147"/>
      <c r="AB15" s="207">
        <f>[10]Summary!$W$7</f>
        <v>0</v>
      </c>
      <c r="AC15" s="199">
        <f>[10]Summary!$X$7</f>
        <v>0</v>
      </c>
      <c r="AD15" s="200" t="str">
        <f>[10]Summary!$Y$7</f>
        <v>-</v>
      </c>
      <c r="AE15" s="208" t="str">
        <f>[10]Summary!$Z$7</f>
        <v>-</v>
      </c>
      <c r="AF15" s="174"/>
      <c r="AG15" s="201">
        <f>[10]Summary!$AA$7</f>
        <v>42138</v>
      </c>
      <c r="AH15" s="196" t="str">
        <f>[10]Summary!$AB$7</f>
        <v>?</v>
      </c>
      <c r="AI15" s="196" t="str">
        <f>[10]Summary!$AC$7</f>
        <v>?</v>
      </c>
      <c r="AJ15" s="196" t="str">
        <f>[10]Summary!$AD$7</f>
        <v>?</v>
      </c>
      <c r="AK15" s="202" t="str">
        <f>[10]Summary!$AE$7</f>
        <v xml:space="preserve">RTL:
POST:
FPGA: </v>
      </c>
    </row>
    <row r="16" spans="2:37" x14ac:dyDescent="0.3">
      <c r="B16" s="114">
        <v>11</v>
      </c>
      <c r="C16" s="114" t="str">
        <f>[11]Summary!$B$7</f>
        <v>System Controller</v>
      </c>
      <c r="D16" s="114" t="str">
        <f>[11]Summary!$C$7</f>
        <v>김정욱 책임</v>
      </c>
      <c r="E16" s="141" t="str">
        <f>[11]Summary!$D$7</f>
        <v>김정욱 책임</v>
      </c>
      <c r="F16" s="146"/>
      <c r="G16" s="155">
        <f>[11]Summary!$E$7</f>
        <v>0</v>
      </c>
      <c r="H16" s="155">
        <f>[11]Summary!$F$7</f>
        <v>0</v>
      </c>
      <c r="I16" s="155">
        <f>[11]Summary!$G$7</f>
        <v>0</v>
      </c>
      <c r="J16" s="155">
        <f>[11]Summary!$H$7</f>
        <v>0</v>
      </c>
      <c r="K16" s="155">
        <f>[11]Summary!$I$7</f>
        <v>0</v>
      </c>
      <c r="L16" s="115">
        <f>[11]Summary!$J$7</f>
        <v>0</v>
      </c>
      <c r="M16" s="116" t="str">
        <f>[11]Summary!$K$7</f>
        <v>-</v>
      </c>
      <c r="N16" s="116">
        <f>[11]Summary!$L$7</f>
        <v>0</v>
      </c>
      <c r="O16" s="116">
        <f>[11]Summary!$M$7</f>
        <v>0</v>
      </c>
      <c r="P16" s="141" t="str">
        <f>[11]Summary!$N$7</f>
        <v>-</v>
      </c>
      <c r="Q16" s="146"/>
      <c r="R16" s="155">
        <f>[11]Summary!$O$7</f>
        <v>0</v>
      </c>
      <c r="S16" s="115">
        <f>[11]Summary!$P$7</f>
        <v>0</v>
      </c>
      <c r="T16" s="116" t="str">
        <f>[11]Summary!$Q$7</f>
        <v>-</v>
      </c>
      <c r="U16" s="141" t="str">
        <f>[11]Summary!$R$7</f>
        <v>-</v>
      </c>
      <c r="V16" s="146"/>
      <c r="W16" s="155">
        <f>[11]Summary!$S$7</f>
        <v>0</v>
      </c>
      <c r="X16" s="115">
        <f>[11]Summary!$T$7</f>
        <v>0</v>
      </c>
      <c r="Y16" s="116" t="str">
        <f>[11]Summary!$U$7</f>
        <v>-</v>
      </c>
      <c r="Z16" s="141" t="str">
        <f>[11]Summary!$V$7</f>
        <v>-</v>
      </c>
      <c r="AA16" s="147"/>
      <c r="AB16" s="205">
        <f>[11]Summary!$W$7</f>
        <v>0</v>
      </c>
      <c r="AC16" s="115">
        <f>[11]Summary!$X$7</f>
        <v>0</v>
      </c>
      <c r="AD16" s="116" t="str">
        <f>[11]Summary!$Y$7</f>
        <v>-</v>
      </c>
      <c r="AE16" s="206" t="str">
        <f>[11]Summary!$Z$7</f>
        <v>-</v>
      </c>
      <c r="AF16" s="174"/>
      <c r="AG16" s="143">
        <f>[11]Summary!$AA$7</f>
        <v>42138</v>
      </c>
      <c r="AH16" s="114" t="str">
        <f>[11]Summary!$AB$7</f>
        <v>?</v>
      </c>
      <c r="AI16" s="114" t="str">
        <f>[11]Summary!$AC$7</f>
        <v>?</v>
      </c>
      <c r="AJ16" s="114" t="str">
        <f>[11]Summary!$AD$7</f>
        <v>?</v>
      </c>
      <c r="AK16" s="117" t="str">
        <f>[11]Summary!$AE$7</f>
        <v xml:space="preserve">RTL:
POST:
FPGA: </v>
      </c>
    </row>
    <row r="17" spans="2:37" x14ac:dyDescent="0.3">
      <c r="B17" s="196">
        <v>12</v>
      </c>
      <c r="C17" s="196" t="str">
        <f>[12]Summary!$B$7</f>
        <v>PMU</v>
      </c>
      <c r="D17" s="196" t="str">
        <f>[12]Summary!$C$7</f>
        <v>김정욱 책임</v>
      </c>
      <c r="E17" s="197" t="str">
        <f>[12]Summary!$D$7</f>
        <v>김정욱 책임</v>
      </c>
      <c r="F17" s="146"/>
      <c r="G17" s="198">
        <f>[12]Summary!$E$7</f>
        <v>0</v>
      </c>
      <c r="H17" s="198">
        <f>[12]Summary!$F$7</f>
        <v>0</v>
      </c>
      <c r="I17" s="198">
        <f>[12]Summary!$G$7</f>
        <v>0</v>
      </c>
      <c r="J17" s="198">
        <f>[12]Summary!$H$7</f>
        <v>0</v>
      </c>
      <c r="K17" s="198">
        <f>[12]Summary!$I$7</f>
        <v>0</v>
      </c>
      <c r="L17" s="199">
        <f>[12]Summary!$J$7</f>
        <v>0</v>
      </c>
      <c r="M17" s="200" t="str">
        <f>[12]Summary!$K$7</f>
        <v>-</v>
      </c>
      <c r="N17" s="200">
        <f>[12]Summary!$L$7</f>
        <v>0</v>
      </c>
      <c r="O17" s="200">
        <f>[12]Summary!$M$7</f>
        <v>0</v>
      </c>
      <c r="P17" s="197" t="str">
        <f>[12]Summary!$N$7</f>
        <v>-</v>
      </c>
      <c r="Q17" s="146"/>
      <c r="R17" s="198">
        <f>[12]Summary!$O$7</f>
        <v>0</v>
      </c>
      <c r="S17" s="199">
        <f>[12]Summary!$P$7</f>
        <v>0</v>
      </c>
      <c r="T17" s="200" t="str">
        <f>[12]Summary!$Q$7</f>
        <v>-</v>
      </c>
      <c r="U17" s="197" t="str">
        <f>[12]Summary!$R$7</f>
        <v>-</v>
      </c>
      <c r="V17" s="146"/>
      <c r="W17" s="198">
        <f>[12]Summary!$S$7</f>
        <v>0</v>
      </c>
      <c r="X17" s="199">
        <f>[12]Summary!$T$7</f>
        <v>0</v>
      </c>
      <c r="Y17" s="200" t="str">
        <f>[12]Summary!$U$7</f>
        <v>-</v>
      </c>
      <c r="Z17" s="197" t="str">
        <f>[12]Summary!$V$7</f>
        <v>-</v>
      </c>
      <c r="AA17" s="147"/>
      <c r="AB17" s="207">
        <f>[12]Summary!$W$7</f>
        <v>0</v>
      </c>
      <c r="AC17" s="199">
        <f>[12]Summary!$X$7</f>
        <v>0</v>
      </c>
      <c r="AD17" s="200" t="str">
        <f>[12]Summary!$Y$7</f>
        <v>-</v>
      </c>
      <c r="AE17" s="208" t="str">
        <f>[12]Summary!$Z$7</f>
        <v>-</v>
      </c>
      <c r="AF17" s="174"/>
      <c r="AG17" s="201">
        <f>[12]Summary!$AA$7</f>
        <v>42138</v>
      </c>
      <c r="AH17" s="196" t="str">
        <f>[12]Summary!$AB$7</f>
        <v>?</v>
      </c>
      <c r="AI17" s="196" t="str">
        <f>[12]Summary!$AC$7</f>
        <v>?</v>
      </c>
      <c r="AJ17" s="196" t="str">
        <f>[12]Summary!$AD$7</f>
        <v>?</v>
      </c>
      <c r="AK17" s="202" t="str">
        <f>[12]Summary!$AE$7</f>
        <v xml:space="preserve">RTL:
POST:
FPGA: </v>
      </c>
    </row>
    <row r="18" spans="2:37" x14ac:dyDescent="0.3">
      <c r="B18" s="114">
        <v>13</v>
      </c>
      <c r="C18" s="114" t="str">
        <f>[13]Summary!$B$7</f>
        <v>RPMB</v>
      </c>
      <c r="D18" s="114" t="str">
        <f>[13]Summary!$C$7</f>
        <v>안병욱 선임</v>
      </c>
      <c r="E18" s="141" t="str">
        <f>[13]Summary!$D$7</f>
        <v>안병욱 선임</v>
      </c>
      <c r="F18" s="146"/>
      <c r="G18" s="155">
        <f>[13]Summary!$E$7</f>
        <v>0</v>
      </c>
      <c r="H18" s="155">
        <f>[13]Summary!$F$7</f>
        <v>0</v>
      </c>
      <c r="I18" s="155">
        <f>[13]Summary!$G$7</f>
        <v>0</v>
      </c>
      <c r="J18" s="155">
        <f>[13]Summary!$H$7</f>
        <v>0</v>
      </c>
      <c r="K18" s="155">
        <f>[13]Summary!$I$7</f>
        <v>0</v>
      </c>
      <c r="L18" s="115">
        <f>[13]Summary!$J$7</f>
        <v>0</v>
      </c>
      <c r="M18" s="116" t="str">
        <f>[13]Summary!$K$7</f>
        <v>-</v>
      </c>
      <c r="N18" s="116">
        <f>[13]Summary!$L$7</f>
        <v>0</v>
      </c>
      <c r="O18" s="116">
        <f>[13]Summary!$M$7</f>
        <v>0</v>
      </c>
      <c r="P18" s="141" t="str">
        <f>[13]Summary!$N$7</f>
        <v>-</v>
      </c>
      <c r="Q18" s="146"/>
      <c r="R18" s="155">
        <f>[13]Summary!$O$7</f>
        <v>0</v>
      </c>
      <c r="S18" s="115">
        <f>[13]Summary!$P$7</f>
        <v>0</v>
      </c>
      <c r="T18" s="116" t="str">
        <f>[13]Summary!$Q$7</f>
        <v>-</v>
      </c>
      <c r="U18" s="141" t="str">
        <f>[13]Summary!$R$7</f>
        <v>-</v>
      </c>
      <c r="V18" s="146"/>
      <c r="W18" s="155">
        <f>[13]Summary!$S$7</f>
        <v>0</v>
      </c>
      <c r="X18" s="115">
        <f>[13]Summary!$T$7</f>
        <v>0</v>
      </c>
      <c r="Y18" s="116" t="str">
        <f>[13]Summary!$U$7</f>
        <v>-</v>
      </c>
      <c r="Z18" s="141" t="str">
        <f>[13]Summary!$V$7</f>
        <v>-</v>
      </c>
      <c r="AA18" s="147"/>
      <c r="AB18" s="205">
        <f>[13]Summary!$W$7</f>
        <v>0</v>
      </c>
      <c r="AC18" s="115">
        <f>[13]Summary!$X$7</f>
        <v>0</v>
      </c>
      <c r="AD18" s="116" t="str">
        <f>[13]Summary!$Y$7</f>
        <v>-</v>
      </c>
      <c r="AE18" s="206" t="str">
        <f>[13]Summary!$Z$7</f>
        <v>-</v>
      </c>
      <c r="AF18" s="174"/>
      <c r="AG18" s="143">
        <f>[13]Summary!$AA$7</f>
        <v>42138</v>
      </c>
      <c r="AH18" s="114" t="str">
        <f>[13]Summary!$AB$7</f>
        <v>?</v>
      </c>
      <c r="AI18" s="114" t="str">
        <f>[13]Summary!$AC$7</f>
        <v>?</v>
      </c>
      <c r="AJ18" s="114" t="str">
        <f>[13]Summary!$AD$7</f>
        <v>?</v>
      </c>
      <c r="AK18" s="117" t="str">
        <f>[13]Summary!$AE$7</f>
        <v xml:space="preserve">RTL:
POST:
FPGA: </v>
      </c>
    </row>
    <row r="19" spans="2:37" x14ac:dyDescent="0.3">
      <c r="B19" s="196">
        <v>14</v>
      </c>
      <c r="C19" s="196" t="str">
        <f>[14]Summary!$B$7</f>
        <v>Mail Box</v>
      </c>
      <c r="D19" s="196" t="str">
        <f>[14]Summary!$C$7</f>
        <v>안병욱 선임</v>
      </c>
      <c r="E19" s="197" t="str">
        <f>[14]Summary!$D$7</f>
        <v>안병욱 선임</v>
      </c>
      <c r="F19" s="146"/>
      <c r="G19" s="198">
        <f>[14]Summary!$E$7</f>
        <v>0</v>
      </c>
      <c r="H19" s="198">
        <f>[14]Summary!$F$7</f>
        <v>0</v>
      </c>
      <c r="I19" s="198">
        <f>[14]Summary!$G$7</f>
        <v>0</v>
      </c>
      <c r="J19" s="198">
        <f>[14]Summary!$H$7</f>
        <v>0</v>
      </c>
      <c r="K19" s="198">
        <f>[14]Summary!$I$7</f>
        <v>0</v>
      </c>
      <c r="L19" s="199">
        <f>[14]Summary!$J$7</f>
        <v>0</v>
      </c>
      <c r="M19" s="200" t="str">
        <f>[14]Summary!$K$7</f>
        <v>-</v>
      </c>
      <c r="N19" s="200">
        <f>[14]Summary!$L$7</f>
        <v>0</v>
      </c>
      <c r="O19" s="200">
        <f>[14]Summary!$M$7</f>
        <v>0</v>
      </c>
      <c r="P19" s="197" t="str">
        <f>[14]Summary!$N$7</f>
        <v>-</v>
      </c>
      <c r="Q19" s="146"/>
      <c r="R19" s="198">
        <f>[14]Summary!$O$7</f>
        <v>0</v>
      </c>
      <c r="S19" s="199">
        <f>[14]Summary!$P$7</f>
        <v>0</v>
      </c>
      <c r="T19" s="200" t="str">
        <f>[14]Summary!$Q$7</f>
        <v>-</v>
      </c>
      <c r="U19" s="197" t="str">
        <f>[14]Summary!$R$7</f>
        <v>-</v>
      </c>
      <c r="V19" s="146"/>
      <c r="W19" s="198">
        <f>[14]Summary!$S$7</f>
        <v>0</v>
      </c>
      <c r="X19" s="199">
        <f>[14]Summary!$T$7</f>
        <v>0</v>
      </c>
      <c r="Y19" s="200" t="str">
        <f>[14]Summary!$U$7</f>
        <v>-</v>
      </c>
      <c r="Z19" s="197" t="str">
        <f>[14]Summary!$V$7</f>
        <v>-</v>
      </c>
      <c r="AA19" s="147"/>
      <c r="AB19" s="207">
        <f>[14]Summary!$W$7</f>
        <v>0</v>
      </c>
      <c r="AC19" s="199">
        <f>[14]Summary!$X$7</f>
        <v>0</v>
      </c>
      <c r="AD19" s="200" t="str">
        <f>[14]Summary!$Y$7</f>
        <v>-</v>
      </c>
      <c r="AE19" s="208" t="str">
        <f>[14]Summary!$Z$7</f>
        <v>-</v>
      </c>
      <c r="AF19" s="174"/>
      <c r="AG19" s="201">
        <f>[14]Summary!$AA$7</f>
        <v>42138</v>
      </c>
      <c r="AH19" s="196" t="str">
        <f>[14]Summary!$AB$7</f>
        <v>?</v>
      </c>
      <c r="AI19" s="196" t="str">
        <f>[14]Summary!$AC$7</f>
        <v>?</v>
      </c>
      <c r="AJ19" s="196" t="str">
        <f>[14]Summary!$AD$7</f>
        <v>?</v>
      </c>
      <c r="AK19" s="202" t="str">
        <f>[14]Summary!$AE$7</f>
        <v xml:space="preserve">RTL:
POST:
FPGA: </v>
      </c>
    </row>
    <row r="20" spans="2:37" x14ac:dyDescent="0.3">
      <c r="B20" s="114">
        <v>15</v>
      </c>
      <c r="C20" s="114" t="str">
        <f>[15]Summary!$B$7</f>
        <v>Timer</v>
      </c>
      <c r="D20" s="114" t="str">
        <f>[15]Summary!$C$7</f>
        <v>안병욱 선임</v>
      </c>
      <c r="E20" s="141" t="str">
        <f>[15]Summary!$D$7</f>
        <v>안병욱 선임</v>
      </c>
      <c r="F20" s="146"/>
      <c r="G20" s="155">
        <f>[15]Summary!$E$7</f>
        <v>0</v>
      </c>
      <c r="H20" s="155">
        <f>[15]Summary!$F$7</f>
        <v>0</v>
      </c>
      <c r="I20" s="155">
        <f>[15]Summary!$G$7</f>
        <v>0</v>
      </c>
      <c r="J20" s="155">
        <f>[15]Summary!$H$7</f>
        <v>0</v>
      </c>
      <c r="K20" s="155">
        <f>[15]Summary!$I$7</f>
        <v>0</v>
      </c>
      <c r="L20" s="115">
        <f>[15]Summary!$J$7</f>
        <v>0</v>
      </c>
      <c r="M20" s="116" t="str">
        <f>[15]Summary!$K$7</f>
        <v>-</v>
      </c>
      <c r="N20" s="116">
        <f>[15]Summary!$L$7</f>
        <v>0</v>
      </c>
      <c r="O20" s="116">
        <f>[15]Summary!$M$7</f>
        <v>0</v>
      </c>
      <c r="P20" s="141" t="str">
        <f>[15]Summary!$N$7</f>
        <v>-</v>
      </c>
      <c r="Q20" s="146"/>
      <c r="R20" s="155">
        <f>[15]Summary!$O$7</f>
        <v>0</v>
      </c>
      <c r="S20" s="115">
        <f>[15]Summary!$P$7</f>
        <v>0</v>
      </c>
      <c r="T20" s="116" t="str">
        <f>[15]Summary!$Q$7</f>
        <v>-</v>
      </c>
      <c r="U20" s="141" t="str">
        <f>[15]Summary!$R$7</f>
        <v>-</v>
      </c>
      <c r="V20" s="146"/>
      <c r="W20" s="155">
        <f>[15]Summary!$S$7</f>
        <v>0</v>
      </c>
      <c r="X20" s="115">
        <f>[15]Summary!$T$7</f>
        <v>0</v>
      </c>
      <c r="Y20" s="116" t="str">
        <f>[15]Summary!$U$7</f>
        <v>-</v>
      </c>
      <c r="Z20" s="141" t="str">
        <f>[15]Summary!$V$7</f>
        <v>-</v>
      </c>
      <c r="AA20" s="147"/>
      <c r="AB20" s="205">
        <f>[15]Summary!$W$7</f>
        <v>0</v>
      </c>
      <c r="AC20" s="115">
        <f>[15]Summary!$X$7</f>
        <v>0</v>
      </c>
      <c r="AD20" s="116" t="str">
        <f>[15]Summary!$Y$7</f>
        <v>-</v>
      </c>
      <c r="AE20" s="206" t="str">
        <f>[15]Summary!$Z$7</f>
        <v>-</v>
      </c>
      <c r="AF20" s="174"/>
      <c r="AG20" s="143">
        <f>[15]Summary!$AA$7</f>
        <v>42138</v>
      </c>
      <c r="AH20" s="114" t="str">
        <f>[15]Summary!$AB$7</f>
        <v>?</v>
      </c>
      <c r="AI20" s="114" t="str">
        <f>[15]Summary!$AC$7</f>
        <v>?</v>
      </c>
      <c r="AJ20" s="114" t="str">
        <f>[15]Summary!$AD$7</f>
        <v>?</v>
      </c>
      <c r="AK20" s="117" t="str">
        <f>[15]Summary!$AE$7</f>
        <v xml:space="preserve">RTL:
POST:
FPGA: </v>
      </c>
    </row>
    <row r="21" spans="2:37" x14ac:dyDescent="0.3">
      <c r="B21" s="196">
        <v>16</v>
      </c>
      <c r="C21" s="196" t="str">
        <f>[16]Summary!$B$7</f>
        <v>WDT</v>
      </c>
      <c r="D21" s="196" t="str">
        <f>[16]Summary!$C$7</f>
        <v>안병욱 선임</v>
      </c>
      <c r="E21" s="197" t="str">
        <f>[16]Summary!$D$7</f>
        <v>안병욱 선임</v>
      </c>
      <c r="F21" s="146"/>
      <c r="G21" s="198">
        <f>[16]Summary!$E$7</f>
        <v>0</v>
      </c>
      <c r="H21" s="198">
        <f>[16]Summary!$F$7</f>
        <v>0</v>
      </c>
      <c r="I21" s="198">
        <f>[16]Summary!$G$7</f>
        <v>0</v>
      </c>
      <c r="J21" s="198">
        <f>[16]Summary!$H$7</f>
        <v>0</v>
      </c>
      <c r="K21" s="198">
        <f>[16]Summary!$I$7</f>
        <v>0</v>
      </c>
      <c r="L21" s="199">
        <f>[16]Summary!$J$7</f>
        <v>0</v>
      </c>
      <c r="M21" s="200" t="str">
        <f>[16]Summary!$K$7</f>
        <v>-</v>
      </c>
      <c r="N21" s="200">
        <f>[16]Summary!$L$7</f>
        <v>0</v>
      </c>
      <c r="O21" s="200">
        <f>[16]Summary!$M$7</f>
        <v>0</v>
      </c>
      <c r="P21" s="197" t="str">
        <f>[16]Summary!$N$7</f>
        <v>-</v>
      </c>
      <c r="Q21" s="146"/>
      <c r="R21" s="198">
        <f>[16]Summary!$O$7</f>
        <v>0</v>
      </c>
      <c r="S21" s="199">
        <f>[16]Summary!$P$7</f>
        <v>0</v>
      </c>
      <c r="T21" s="200" t="str">
        <f>[16]Summary!$Q$7</f>
        <v>-</v>
      </c>
      <c r="U21" s="197" t="str">
        <f>[16]Summary!$R$7</f>
        <v>-</v>
      </c>
      <c r="V21" s="146"/>
      <c r="W21" s="198">
        <f>[16]Summary!$S$7</f>
        <v>0</v>
      </c>
      <c r="X21" s="199">
        <f>[16]Summary!$T$7</f>
        <v>0</v>
      </c>
      <c r="Y21" s="200" t="str">
        <f>[16]Summary!$U$7</f>
        <v>-</v>
      </c>
      <c r="Z21" s="197" t="str">
        <f>[16]Summary!$V$7</f>
        <v>-</v>
      </c>
      <c r="AA21" s="147"/>
      <c r="AB21" s="207">
        <f>[16]Summary!$W$7</f>
        <v>0</v>
      </c>
      <c r="AC21" s="199">
        <f>[16]Summary!$X$7</f>
        <v>0</v>
      </c>
      <c r="AD21" s="200" t="str">
        <f>[16]Summary!$Y$7</f>
        <v>-</v>
      </c>
      <c r="AE21" s="208" t="str">
        <f>[16]Summary!$Z$7</f>
        <v>-</v>
      </c>
      <c r="AF21" s="174"/>
      <c r="AG21" s="201">
        <f>[16]Summary!$AA$7</f>
        <v>42138</v>
      </c>
      <c r="AH21" s="196" t="str">
        <f>[16]Summary!$AB$7</f>
        <v>?</v>
      </c>
      <c r="AI21" s="196" t="str">
        <f>[16]Summary!$AC$7</f>
        <v>?</v>
      </c>
      <c r="AJ21" s="196" t="str">
        <f>[16]Summary!$AD$7</f>
        <v>?</v>
      </c>
      <c r="AK21" s="202" t="str">
        <f>[16]Summary!$AE$7</f>
        <v xml:space="preserve">RTL:
POST:
FPGA: </v>
      </c>
    </row>
    <row r="22" spans="2:37" x14ac:dyDescent="0.3">
      <c r="B22" s="114">
        <v>17</v>
      </c>
      <c r="C22" s="114" t="str">
        <f>[17]Summary!$B$7</f>
        <v>UART</v>
      </c>
      <c r="D22" s="114" t="str">
        <f>[17]Summary!$C$7</f>
        <v>안병욱 선임</v>
      </c>
      <c r="E22" s="141" t="str">
        <f>[17]Summary!$D$7</f>
        <v>안병욱 선임</v>
      </c>
      <c r="F22" s="146"/>
      <c r="G22" s="155">
        <f>[17]Summary!$E$7</f>
        <v>0</v>
      </c>
      <c r="H22" s="155">
        <f>[17]Summary!$F$7</f>
        <v>0</v>
      </c>
      <c r="I22" s="155">
        <f>[17]Summary!$G$7</f>
        <v>0</v>
      </c>
      <c r="J22" s="155">
        <f>[17]Summary!$H$7</f>
        <v>0</v>
      </c>
      <c r="K22" s="155">
        <f>[17]Summary!$I$7</f>
        <v>0</v>
      </c>
      <c r="L22" s="115">
        <f>[17]Summary!$J$7</f>
        <v>0</v>
      </c>
      <c r="M22" s="116" t="str">
        <f>[17]Summary!$K$7</f>
        <v>-</v>
      </c>
      <c r="N22" s="116">
        <f>[17]Summary!$L$7</f>
        <v>0</v>
      </c>
      <c r="O22" s="116">
        <f>[17]Summary!$M$7</f>
        <v>0</v>
      </c>
      <c r="P22" s="141" t="str">
        <f>[17]Summary!$N$7</f>
        <v>-</v>
      </c>
      <c r="Q22" s="146"/>
      <c r="R22" s="155">
        <f>[17]Summary!$O$7</f>
        <v>0</v>
      </c>
      <c r="S22" s="115">
        <f>[17]Summary!$P$7</f>
        <v>0</v>
      </c>
      <c r="T22" s="116" t="str">
        <f>[17]Summary!$Q$7</f>
        <v>-</v>
      </c>
      <c r="U22" s="141" t="str">
        <f>[17]Summary!$R$7</f>
        <v>-</v>
      </c>
      <c r="V22" s="146"/>
      <c r="W22" s="155">
        <f>[17]Summary!$S$7</f>
        <v>0</v>
      </c>
      <c r="X22" s="115">
        <f>[17]Summary!$T$7</f>
        <v>0</v>
      </c>
      <c r="Y22" s="116" t="str">
        <f>[17]Summary!$U$7</f>
        <v>-</v>
      </c>
      <c r="Z22" s="141" t="str">
        <f>[17]Summary!$V$7</f>
        <v>-</v>
      </c>
      <c r="AA22" s="147"/>
      <c r="AB22" s="205">
        <f>[17]Summary!$W$7</f>
        <v>0</v>
      </c>
      <c r="AC22" s="115">
        <f>[17]Summary!$X$7</f>
        <v>0</v>
      </c>
      <c r="AD22" s="116" t="str">
        <f>[17]Summary!$Y$7</f>
        <v>-</v>
      </c>
      <c r="AE22" s="206" t="str">
        <f>[17]Summary!$Z$7</f>
        <v>-</v>
      </c>
      <c r="AF22" s="174"/>
      <c r="AG22" s="143">
        <f>[17]Summary!$AA$7</f>
        <v>42138</v>
      </c>
      <c r="AH22" s="114" t="str">
        <f>[17]Summary!$AB$7</f>
        <v>?</v>
      </c>
      <c r="AI22" s="114" t="str">
        <f>[17]Summary!$AC$7</f>
        <v>?</v>
      </c>
      <c r="AJ22" s="114" t="str">
        <f>[17]Summary!$AD$7</f>
        <v>?</v>
      </c>
      <c r="AK22" s="117" t="str">
        <f>[17]Summary!$AE$7</f>
        <v xml:space="preserve">RTL:
POST:
FPGA: </v>
      </c>
    </row>
    <row r="23" spans="2:37" x14ac:dyDescent="0.3">
      <c r="B23" s="196">
        <v>18</v>
      </c>
      <c r="C23" s="196" t="str">
        <f>[18]Summary!$B$7</f>
        <v>Clock Controller</v>
      </c>
      <c r="D23" s="196" t="str">
        <f>[18]Summary!$C$7</f>
        <v>김정욱 책임</v>
      </c>
      <c r="E23" s="197" t="str">
        <f>[18]Summary!$D$7</f>
        <v>김정욱 책임</v>
      </c>
      <c r="F23" s="146"/>
      <c r="G23" s="198">
        <f>[18]Summary!$E$7</f>
        <v>0</v>
      </c>
      <c r="H23" s="198">
        <f>[18]Summary!$F$7</f>
        <v>0</v>
      </c>
      <c r="I23" s="198">
        <f>[18]Summary!$G$7</f>
        <v>0</v>
      </c>
      <c r="J23" s="198">
        <f>[18]Summary!$H$7</f>
        <v>0</v>
      </c>
      <c r="K23" s="198">
        <f>[18]Summary!$I$7</f>
        <v>0</v>
      </c>
      <c r="L23" s="199">
        <f>[18]Summary!$J$7</f>
        <v>0</v>
      </c>
      <c r="M23" s="200" t="str">
        <f>[18]Summary!$K$7</f>
        <v>-</v>
      </c>
      <c r="N23" s="200">
        <f>[18]Summary!$L$7</f>
        <v>0</v>
      </c>
      <c r="O23" s="200">
        <f>[18]Summary!$M$7</f>
        <v>0</v>
      </c>
      <c r="P23" s="197" t="str">
        <f>[18]Summary!$N$7</f>
        <v>-</v>
      </c>
      <c r="Q23" s="146"/>
      <c r="R23" s="198">
        <f>[18]Summary!$O$7</f>
        <v>0</v>
      </c>
      <c r="S23" s="199">
        <f>[18]Summary!$P$7</f>
        <v>0</v>
      </c>
      <c r="T23" s="200" t="str">
        <f>[18]Summary!$Q$7</f>
        <v>-</v>
      </c>
      <c r="U23" s="197" t="str">
        <f>[18]Summary!$R$7</f>
        <v>-</v>
      </c>
      <c r="V23" s="146"/>
      <c r="W23" s="198">
        <f>[18]Summary!$S$7</f>
        <v>0</v>
      </c>
      <c r="X23" s="199">
        <f>[18]Summary!$T$7</f>
        <v>0</v>
      </c>
      <c r="Y23" s="200" t="str">
        <f>[18]Summary!$U$7</f>
        <v>-</v>
      </c>
      <c r="Z23" s="197" t="str">
        <f>[18]Summary!$V$7</f>
        <v>-</v>
      </c>
      <c r="AA23" s="147"/>
      <c r="AB23" s="207">
        <f>[18]Summary!$W$7</f>
        <v>0</v>
      </c>
      <c r="AC23" s="199">
        <f>[18]Summary!$X$7</f>
        <v>0</v>
      </c>
      <c r="AD23" s="200" t="str">
        <f>[18]Summary!$Y$7</f>
        <v>-</v>
      </c>
      <c r="AE23" s="208" t="str">
        <f>[18]Summary!$Z$7</f>
        <v>-</v>
      </c>
      <c r="AF23" s="174"/>
      <c r="AG23" s="201">
        <f>[18]Summary!$AA$7</f>
        <v>42138</v>
      </c>
      <c r="AH23" s="196" t="str">
        <f>[18]Summary!$AB$7</f>
        <v>?</v>
      </c>
      <c r="AI23" s="196" t="str">
        <f>[18]Summary!$AC$7</f>
        <v>?</v>
      </c>
      <c r="AJ23" s="196" t="str">
        <f>[18]Summary!$AD$7</f>
        <v>?</v>
      </c>
      <c r="AK23" s="202" t="str">
        <f>[18]Summary!$AE$7</f>
        <v xml:space="preserve">RTL:
POST:
FPGA: </v>
      </c>
    </row>
    <row r="24" spans="2:37" x14ac:dyDescent="0.3">
      <c r="B24" s="114">
        <v>19</v>
      </c>
      <c r="C24" s="114" t="str">
        <f>[19]Summary!$B$7</f>
        <v>Reset Controller</v>
      </c>
      <c r="D24" s="114" t="str">
        <f>[19]Summary!$C$7</f>
        <v>김정욱 책임</v>
      </c>
      <c r="E24" s="141" t="str">
        <f>[19]Summary!$D$7</f>
        <v>김정욱 책임</v>
      </c>
      <c r="F24" s="146"/>
      <c r="G24" s="155">
        <f>[19]Summary!$E$7</f>
        <v>0</v>
      </c>
      <c r="H24" s="155">
        <f>[19]Summary!$F$7</f>
        <v>0</v>
      </c>
      <c r="I24" s="155">
        <f>[19]Summary!$G$7</f>
        <v>0</v>
      </c>
      <c r="J24" s="155">
        <f>[19]Summary!$H$7</f>
        <v>0</v>
      </c>
      <c r="K24" s="155">
        <f>[19]Summary!$I$7</f>
        <v>0</v>
      </c>
      <c r="L24" s="115">
        <f>[19]Summary!$J$7</f>
        <v>0</v>
      </c>
      <c r="M24" s="116" t="str">
        <f>[19]Summary!$K$7</f>
        <v>-</v>
      </c>
      <c r="N24" s="116">
        <f>[19]Summary!$L$7</f>
        <v>0</v>
      </c>
      <c r="O24" s="116">
        <f>[19]Summary!$M$7</f>
        <v>0</v>
      </c>
      <c r="P24" s="141" t="str">
        <f>[19]Summary!$N$7</f>
        <v>-</v>
      </c>
      <c r="Q24" s="146"/>
      <c r="R24" s="155">
        <f>[19]Summary!$O$7</f>
        <v>0</v>
      </c>
      <c r="S24" s="115">
        <f>[19]Summary!$P$7</f>
        <v>0</v>
      </c>
      <c r="T24" s="116" t="str">
        <f>[19]Summary!$Q$7</f>
        <v>-</v>
      </c>
      <c r="U24" s="141" t="str">
        <f>[19]Summary!$R$7</f>
        <v>-</v>
      </c>
      <c r="V24" s="146"/>
      <c r="W24" s="155">
        <f>[19]Summary!$S$7</f>
        <v>0</v>
      </c>
      <c r="X24" s="115">
        <f>[19]Summary!$T$7</f>
        <v>0</v>
      </c>
      <c r="Y24" s="116" t="str">
        <f>[19]Summary!$U$7</f>
        <v>-</v>
      </c>
      <c r="Z24" s="141" t="str">
        <f>[19]Summary!$V$7</f>
        <v>-</v>
      </c>
      <c r="AA24" s="147"/>
      <c r="AB24" s="205">
        <f>[19]Summary!$W$7</f>
        <v>0</v>
      </c>
      <c r="AC24" s="115">
        <f>[19]Summary!$X$7</f>
        <v>0</v>
      </c>
      <c r="AD24" s="116" t="str">
        <f>[19]Summary!$Y$7</f>
        <v>-</v>
      </c>
      <c r="AE24" s="206" t="str">
        <f>[19]Summary!$Z$7</f>
        <v>-</v>
      </c>
      <c r="AF24" s="174"/>
      <c r="AG24" s="143">
        <f>[19]Summary!$AA$7</f>
        <v>42138</v>
      </c>
      <c r="AH24" s="114" t="str">
        <f>[19]Summary!$AB$7</f>
        <v>?</v>
      </c>
      <c r="AI24" s="114" t="str">
        <f>[19]Summary!$AC$7</f>
        <v>?</v>
      </c>
      <c r="AJ24" s="114" t="str">
        <f>[19]Summary!$AD$7</f>
        <v>?</v>
      </c>
      <c r="AK24" s="117" t="str">
        <f>[19]Summary!$AE$7</f>
        <v xml:space="preserve">RTL:
POST:
FPGA: </v>
      </c>
    </row>
    <row r="25" spans="2:37" x14ac:dyDescent="0.3">
      <c r="B25" s="196">
        <v>20</v>
      </c>
      <c r="C25" s="196" t="str">
        <f>[20]Summary!$B$7</f>
        <v>eFuse Controller</v>
      </c>
      <c r="D25" s="196" t="str">
        <f>[20]Summary!$C$7</f>
        <v>안병욱 선임</v>
      </c>
      <c r="E25" s="197" t="str">
        <f>[20]Summary!$D$7</f>
        <v>안병욱 선임</v>
      </c>
      <c r="F25" s="146"/>
      <c r="G25" s="198">
        <f>[20]Summary!$E$7</f>
        <v>0</v>
      </c>
      <c r="H25" s="198">
        <f>[20]Summary!$F$7</f>
        <v>0</v>
      </c>
      <c r="I25" s="198">
        <f>[20]Summary!$G$7</f>
        <v>0</v>
      </c>
      <c r="J25" s="198">
        <f>[20]Summary!$H$7</f>
        <v>0</v>
      </c>
      <c r="K25" s="198">
        <f>[20]Summary!$I$7</f>
        <v>0</v>
      </c>
      <c r="L25" s="199">
        <f>[20]Summary!$J$7</f>
        <v>0</v>
      </c>
      <c r="M25" s="200" t="str">
        <f>[20]Summary!$K$7</f>
        <v>-</v>
      </c>
      <c r="N25" s="200">
        <f>[20]Summary!$L$7</f>
        <v>0</v>
      </c>
      <c r="O25" s="200">
        <f>[20]Summary!$M$7</f>
        <v>0</v>
      </c>
      <c r="P25" s="197" t="str">
        <f>[20]Summary!$N$7</f>
        <v>-</v>
      </c>
      <c r="Q25" s="146"/>
      <c r="R25" s="198">
        <f>[20]Summary!$O$7</f>
        <v>0</v>
      </c>
      <c r="S25" s="199">
        <f>[20]Summary!$P$7</f>
        <v>0</v>
      </c>
      <c r="T25" s="200" t="str">
        <f>[20]Summary!$Q$7</f>
        <v>-</v>
      </c>
      <c r="U25" s="197" t="str">
        <f>[20]Summary!$R$7</f>
        <v>-</v>
      </c>
      <c r="V25" s="146"/>
      <c r="W25" s="198">
        <f>[20]Summary!$S$7</f>
        <v>0</v>
      </c>
      <c r="X25" s="199">
        <f>[20]Summary!$T$7</f>
        <v>0</v>
      </c>
      <c r="Y25" s="200" t="str">
        <f>[20]Summary!$U$7</f>
        <v>-</v>
      </c>
      <c r="Z25" s="197" t="str">
        <f>[20]Summary!$V$7</f>
        <v>-</v>
      </c>
      <c r="AA25" s="147"/>
      <c r="AB25" s="207">
        <f>[20]Summary!$W$7</f>
        <v>0</v>
      </c>
      <c r="AC25" s="199">
        <f>[20]Summary!$X$7</f>
        <v>0</v>
      </c>
      <c r="AD25" s="200" t="str">
        <f>[20]Summary!$Y$7</f>
        <v>-</v>
      </c>
      <c r="AE25" s="208" t="str">
        <f>[20]Summary!$Z$7</f>
        <v>-</v>
      </c>
      <c r="AF25" s="174"/>
      <c r="AG25" s="201">
        <f>[20]Summary!$AA$7</f>
        <v>42138</v>
      </c>
      <c r="AH25" s="196" t="str">
        <f>[20]Summary!$AB$7</f>
        <v>?</v>
      </c>
      <c r="AI25" s="196" t="str">
        <f>[20]Summary!$AC$7</f>
        <v>?</v>
      </c>
      <c r="AJ25" s="196" t="str">
        <f>[20]Summary!$AD$7</f>
        <v>?</v>
      </c>
      <c r="AK25" s="202" t="str">
        <f>[20]Summary!$AE$7</f>
        <v xml:space="preserve">RTL:
POST:
FPGA: </v>
      </c>
    </row>
    <row r="26" spans="2:37" x14ac:dyDescent="0.3">
      <c r="B26" s="114">
        <v>21</v>
      </c>
      <c r="C26" s="114" t="str">
        <f>[21]Summary!$B$7</f>
        <v>M-PHY</v>
      </c>
      <c r="D26" s="114" t="str">
        <f>[21]Summary!$C$7</f>
        <v>이현주 선임</v>
      </c>
      <c r="E26" s="141" t="str">
        <f>[21]Summary!$D$7</f>
        <v>이현주 선임</v>
      </c>
      <c r="F26" s="146"/>
      <c r="G26" s="155">
        <f>[21]Summary!$E$7</f>
        <v>0</v>
      </c>
      <c r="H26" s="155">
        <f>[21]Summary!$F$7</f>
        <v>0</v>
      </c>
      <c r="I26" s="155">
        <f>[21]Summary!$G$7</f>
        <v>0</v>
      </c>
      <c r="J26" s="155">
        <f>[21]Summary!$H$7</f>
        <v>0</v>
      </c>
      <c r="K26" s="155">
        <f>[21]Summary!$I$7</f>
        <v>0</v>
      </c>
      <c r="L26" s="115">
        <f>[21]Summary!$J$7</f>
        <v>0</v>
      </c>
      <c r="M26" s="116" t="str">
        <f>[21]Summary!$K$7</f>
        <v>-</v>
      </c>
      <c r="N26" s="116">
        <f>[21]Summary!$L$7</f>
        <v>0</v>
      </c>
      <c r="O26" s="116">
        <f>[21]Summary!$M$7</f>
        <v>0</v>
      </c>
      <c r="P26" s="141" t="str">
        <f>[21]Summary!$N$7</f>
        <v>-</v>
      </c>
      <c r="Q26" s="146"/>
      <c r="R26" s="155">
        <f>[21]Summary!$O$7</f>
        <v>0</v>
      </c>
      <c r="S26" s="115">
        <f>[21]Summary!$P$7</f>
        <v>0</v>
      </c>
      <c r="T26" s="116" t="str">
        <f>[21]Summary!$Q$7</f>
        <v>-</v>
      </c>
      <c r="U26" s="141" t="str">
        <f>[21]Summary!$R$7</f>
        <v>-</v>
      </c>
      <c r="V26" s="146"/>
      <c r="W26" s="155">
        <f>[21]Summary!$S$7</f>
        <v>0</v>
      </c>
      <c r="X26" s="115">
        <f>[21]Summary!$T$7</f>
        <v>0</v>
      </c>
      <c r="Y26" s="116" t="str">
        <f>[21]Summary!$U$7</f>
        <v>-</v>
      </c>
      <c r="Z26" s="141" t="str">
        <f>[21]Summary!$V$7</f>
        <v>-</v>
      </c>
      <c r="AA26" s="147"/>
      <c r="AB26" s="205">
        <f>[21]Summary!$W$7</f>
        <v>0</v>
      </c>
      <c r="AC26" s="115">
        <f>[21]Summary!$X$7</f>
        <v>0</v>
      </c>
      <c r="AD26" s="116" t="str">
        <f>[21]Summary!$Y$7</f>
        <v>-</v>
      </c>
      <c r="AE26" s="206" t="str">
        <f>[21]Summary!$Z$7</f>
        <v>-</v>
      </c>
      <c r="AF26" s="174"/>
      <c r="AG26" s="143">
        <f>[21]Summary!$AA$7</f>
        <v>42138</v>
      </c>
      <c r="AH26" s="114" t="str">
        <f>[21]Summary!$AB$7</f>
        <v>?</v>
      </c>
      <c r="AI26" s="114" t="str">
        <f>[21]Summary!$AC$7</f>
        <v>?</v>
      </c>
      <c r="AJ26" s="114" t="str">
        <f>[21]Summary!$AD$7</f>
        <v>?</v>
      </c>
      <c r="AK26" s="117" t="str">
        <f>[21]Summary!$AE$7</f>
        <v xml:space="preserve">RTL:
POST:
FPGA: </v>
      </c>
    </row>
    <row r="27" spans="2:37" x14ac:dyDescent="0.3">
      <c r="B27" s="196">
        <v>22</v>
      </c>
      <c r="C27" s="196" t="str">
        <f>[22]Summary!$B$7</f>
        <v>Nand PHY</v>
      </c>
      <c r="D27" s="196" t="str">
        <f>[22]Summary!$C$7</f>
        <v>이종용 선임</v>
      </c>
      <c r="E27" s="197" t="str">
        <f>[22]Summary!$D$7</f>
        <v>이종용 선임</v>
      </c>
      <c r="F27" s="146"/>
      <c r="G27" s="198">
        <f>[22]Summary!$E$7</f>
        <v>0</v>
      </c>
      <c r="H27" s="198">
        <f>[22]Summary!$F$7</f>
        <v>0</v>
      </c>
      <c r="I27" s="198">
        <f>[22]Summary!$G$7</f>
        <v>0</v>
      </c>
      <c r="J27" s="198">
        <f>[22]Summary!$H$7</f>
        <v>0</v>
      </c>
      <c r="K27" s="198">
        <f>[22]Summary!$I$7</f>
        <v>0</v>
      </c>
      <c r="L27" s="199">
        <f>[22]Summary!$J$7</f>
        <v>0</v>
      </c>
      <c r="M27" s="200" t="str">
        <f>[22]Summary!$K$7</f>
        <v>-</v>
      </c>
      <c r="N27" s="200">
        <f>[22]Summary!$L$7</f>
        <v>0</v>
      </c>
      <c r="O27" s="200">
        <f>[22]Summary!$M$7</f>
        <v>0</v>
      </c>
      <c r="P27" s="197" t="str">
        <f>[22]Summary!$N$7</f>
        <v>-</v>
      </c>
      <c r="Q27" s="146"/>
      <c r="R27" s="198">
        <f>[22]Summary!$O$7</f>
        <v>0</v>
      </c>
      <c r="S27" s="199">
        <f>[22]Summary!$P$7</f>
        <v>0</v>
      </c>
      <c r="T27" s="200" t="str">
        <f>[22]Summary!$Q$7</f>
        <v>-</v>
      </c>
      <c r="U27" s="197" t="str">
        <f>[22]Summary!$R$7</f>
        <v>-</v>
      </c>
      <c r="V27" s="146"/>
      <c r="W27" s="198">
        <f>[22]Summary!$S$7</f>
        <v>0</v>
      </c>
      <c r="X27" s="199">
        <f>[22]Summary!$T$7</f>
        <v>0</v>
      </c>
      <c r="Y27" s="200" t="str">
        <f>[22]Summary!$U$7</f>
        <v>-</v>
      </c>
      <c r="Z27" s="197" t="str">
        <f>[22]Summary!$V$7</f>
        <v>-</v>
      </c>
      <c r="AA27" s="147"/>
      <c r="AB27" s="207">
        <f>[22]Summary!$W$7</f>
        <v>0</v>
      </c>
      <c r="AC27" s="199">
        <f>[22]Summary!$X$7</f>
        <v>0</v>
      </c>
      <c r="AD27" s="200" t="str">
        <f>[22]Summary!$Y$7</f>
        <v>-</v>
      </c>
      <c r="AE27" s="208" t="str">
        <f>[22]Summary!$Z$7</f>
        <v>-</v>
      </c>
      <c r="AF27" s="174"/>
      <c r="AG27" s="201">
        <f>[22]Summary!$AA$7</f>
        <v>42138</v>
      </c>
      <c r="AH27" s="196" t="str">
        <f>[22]Summary!$AB$7</f>
        <v>?</v>
      </c>
      <c r="AI27" s="196" t="str">
        <f>[22]Summary!$AC$7</f>
        <v>?</v>
      </c>
      <c r="AJ27" s="196" t="str">
        <f>[22]Summary!$AD$7</f>
        <v>?</v>
      </c>
      <c r="AK27" s="202" t="str">
        <f>[22]Summary!$AE$7</f>
        <v xml:space="preserve">RTL:
POST:
FPGA: </v>
      </c>
    </row>
    <row r="28" spans="2:37" x14ac:dyDescent="0.3">
      <c r="B28" s="114">
        <v>23</v>
      </c>
      <c r="C28" s="114" t="str">
        <f>[23]Summary!$B$7</f>
        <v>Nand IO</v>
      </c>
      <c r="D28" s="114" t="str">
        <f>[23]Summary!$C$7</f>
        <v>이종용 선임</v>
      </c>
      <c r="E28" s="141" t="str">
        <f>[23]Summary!$D$7</f>
        <v>이종용 선임</v>
      </c>
      <c r="F28" s="146"/>
      <c r="G28" s="155">
        <f>[23]Summary!$E$7</f>
        <v>0</v>
      </c>
      <c r="H28" s="155">
        <f>[23]Summary!$F$7</f>
        <v>0</v>
      </c>
      <c r="I28" s="155">
        <f>[23]Summary!$G$7</f>
        <v>0</v>
      </c>
      <c r="J28" s="155">
        <f>[23]Summary!$H$7</f>
        <v>0</v>
      </c>
      <c r="K28" s="155">
        <f>[23]Summary!$I$7</f>
        <v>0</v>
      </c>
      <c r="L28" s="115">
        <f>[23]Summary!$J$7</f>
        <v>0</v>
      </c>
      <c r="M28" s="116" t="str">
        <f>[23]Summary!$K$7</f>
        <v>-</v>
      </c>
      <c r="N28" s="116">
        <f>[23]Summary!$L$7</f>
        <v>0</v>
      </c>
      <c r="O28" s="116">
        <f>[23]Summary!$M$7</f>
        <v>0</v>
      </c>
      <c r="P28" s="141" t="str">
        <f>[23]Summary!$N$7</f>
        <v>-</v>
      </c>
      <c r="Q28" s="146"/>
      <c r="R28" s="155">
        <f>[23]Summary!$O$7</f>
        <v>0</v>
      </c>
      <c r="S28" s="115">
        <f>[23]Summary!$P$7</f>
        <v>0</v>
      </c>
      <c r="T28" s="116" t="str">
        <f>[23]Summary!$Q$7</f>
        <v>-</v>
      </c>
      <c r="U28" s="141" t="str">
        <f>[23]Summary!$R$7</f>
        <v>-</v>
      </c>
      <c r="V28" s="146"/>
      <c r="W28" s="155">
        <f>[23]Summary!$S$7</f>
        <v>0</v>
      </c>
      <c r="X28" s="115">
        <f>[23]Summary!$T$7</f>
        <v>0</v>
      </c>
      <c r="Y28" s="116" t="str">
        <f>[23]Summary!$U$7</f>
        <v>-</v>
      </c>
      <c r="Z28" s="141" t="str">
        <f>[23]Summary!$V$7</f>
        <v>-</v>
      </c>
      <c r="AA28" s="147"/>
      <c r="AB28" s="205">
        <f>[23]Summary!$W$7</f>
        <v>0</v>
      </c>
      <c r="AC28" s="115">
        <f>[23]Summary!$X$7</f>
        <v>0</v>
      </c>
      <c r="AD28" s="116" t="str">
        <f>[23]Summary!$Y$7</f>
        <v>-</v>
      </c>
      <c r="AE28" s="206" t="str">
        <f>[23]Summary!$Z$7</f>
        <v>-</v>
      </c>
      <c r="AF28" s="174"/>
      <c r="AG28" s="143">
        <f>[23]Summary!$AA$7</f>
        <v>42138</v>
      </c>
      <c r="AH28" s="114" t="str">
        <f>[23]Summary!$AB$7</f>
        <v>?</v>
      </c>
      <c r="AI28" s="114" t="str">
        <f>[23]Summary!$AC$7</f>
        <v>?</v>
      </c>
      <c r="AJ28" s="114" t="str">
        <f>[23]Summary!$AD$7</f>
        <v>?</v>
      </c>
      <c r="AK28" s="117" t="str">
        <f>[23]Summary!$AE$7</f>
        <v xml:space="preserve">RTL:
POST:
FPGA: </v>
      </c>
    </row>
    <row r="29" spans="2:37" x14ac:dyDescent="0.3">
      <c r="B29" s="196">
        <v>24</v>
      </c>
      <c r="C29" s="196" t="str">
        <f>[24]Summary!$B$7</f>
        <v>Test Mux</v>
      </c>
      <c r="D29" s="196" t="str">
        <f>[24]Summary!$C$7</f>
        <v>양창호 선임</v>
      </c>
      <c r="E29" s="197" t="str">
        <f>[24]Summary!$D$7</f>
        <v>양창호 선임</v>
      </c>
      <c r="F29" s="146"/>
      <c r="G29" s="198">
        <f>[24]Summary!$E$7</f>
        <v>0</v>
      </c>
      <c r="H29" s="198">
        <f>[24]Summary!$F$7</f>
        <v>0</v>
      </c>
      <c r="I29" s="198">
        <f>[24]Summary!$G$7</f>
        <v>0</v>
      </c>
      <c r="J29" s="198">
        <f>[24]Summary!$H$7</f>
        <v>0</v>
      </c>
      <c r="K29" s="198">
        <f>[24]Summary!$I$7</f>
        <v>0</v>
      </c>
      <c r="L29" s="199">
        <f>[24]Summary!$J$7</f>
        <v>0</v>
      </c>
      <c r="M29" s="200" t="str">
        <f>[24]Summary!$K$7</f>
        <v>-</v>
      </c>
      <c r="N29" s="200">
        <f>[24]Summary!$L$7</f>
        <v>0</v>
      </c>
      <c r="O29" s="200">
        <f>[24]Summary!$M$7</f>
        <v>0</v>
      </c>
      <c r="P29" s="197" t="str">
        <f>[24]Summary!$N$7</f>
        <v>-</v>
      </c>
      <c r="Q29" s="146"/>
      <c r="R29" s="198">
        <f>[24]Summary!$O$7</f>
        <v>0</v>
      </c>
      <c r="S29" s="199">
        <f>[24]Summary!$P$7</f>
        <v>0</v>
      </c>
      <c r="T29" s="200" t="str">
        <f>[24]Summary!$Q$7</f>
        <v>-</v>
      </c>
      <c r="U29" s="197" t="str">
        <f>[24]Summary!$R$7</f>
        <v>-</v>
      </c>
      <c r="V29" s="146"/>
      <c r="W29" s="198">
        <f>[24]Summary!$S$7</f>
        <v>0</v>
      </c>
      <c r="X29" s="199">
        <f>[24]Summary!$T$7</f>
        <v>0</v>
      </c>
      <c r="Y29" s="200" t="str">
        <f>[24]Summary!$U$7</f>
        <v>-</v>
      </c>
      <c r="Z29" s="197" t="str">
        <f>[24]Summary!$V$7</f>
        <v>-</v>
      </c>
      <c r="AA29" s="147"/>
      <c r="AB29" s="207">
        <f>[24]Summary!$W$7</f>
        <v>0</v>
      </c>
      <c r="AC29" s="199">
        <f>[24]Summary!$X$7</f>
        <v>0</v>
      </c>
      <c r="AD29" s="200" t="str">
        <f>[24]Summary!$Y$7</f>
        <v>-</v>
      </c>
      <c r="AE29" s="208" t="str">
        <f>[24]Summary!$Z$7</f>
        <v>-</v>
      </c>
      <c r="AF29" s="174"/>
      <c r="AG29" s="201">
        <f>[24]Summary!$AA$7</f>
        <v>42138</v>
      </c>
      <c r="AH29" s="196" t="str">
        <f>[24]Summary!$AB$7</f>
        <v>?</v>
      </c>
      <c r="AI29" s="196" t="str">
        <f>[24]Summary!$AC$7</f>
        <v>?</v>
      </c>
      <c r="AJ29" s="196" t="str">
        <f>[24]Summary!$AD$7</f>
        <v>?</v>
      </c>
      <c r="AK29" s="202" t="str">
        <f>[24]Summary!$AE$7</f>
        <v xml:space="preserve">RTL:
POST:
FPGA: </v>
      </c>
    </row>
    <row r="30" spans="2:37" x14ac:dyDescent="0.3">
      <c r="B30" s="114">
        <v>25</v>
      </c>
      <c r="C30" s="114" t="str">
        <f>[25]Summary!$B$7</f>
        <v>HW Bypass</v>
      </c>
      <c r="D30" s="114" t="str">
        <f>[25]Summary!$C$7</f>
        <v>양창호 선임</v>
      </c>
      <c r="E30" s="141" t="str">
        <f>[25]Summary!$D$7</f>
        <v>양창호 선임</v>
      </c>
      <c r="F30" s="146"/>
      <c r="G30" s="155">
        <f>[25]Summary!$E$7</f>
        <v>0</v>
      </c>
      <c r="H30" s="155">
        <f>[25]Summary!$F$7</f>
        <v>0</v>
      </c>
      <c r="I30" s="155">
        <f>[25]Summary!$G$7</f>
        <v>0</v>
      </c>
      <c r="J30" s="155">
        <f>[25]Summary!$H$7</f>
        <v>0</v>
      </c>
      <c r="K30" s="155">
        <f>[25]Summary!$I$7</f>
        <v>0</v>
      </c>
      <c r="L30" s="115">
        <f>[25]Summary!$J$7</f>
        <v>0</v>
      </c>
      <c r="M30" s="116" t="str">
        <f>[25]Summary!$K$7</f>
        <v>-</v>
      </c>
      <c r="N30" s="116">
        <f>[25]Summary!$L$7</f>
        <v>0</v>
      </c>
      <c r="O30" s="116">
        <f>[25]Summary!$M$7</f>
        <v>0</v>
      </c>
      <c r="P30" s="141" t="str">
        <f>[25]Summary!$N$7</f>
        <v>-</v>
      </c>
      <c r="Q30" s="146"/>
      <c r="R30" s="155">
        <f>[25]Summary!$O$7</f>
        <v>0</v>
      </c>
      <c r="S30" s="115">
        <f>[25]Summary!$P$7</f>
        <v>0</v>
      </c>
      <c r="T30" s="116" t="str">
        <f>[25]Summary!$Q$7</f>
        <v>-</v>
      </c>
      <c r="U30" s="141" t="str">
        <f>[25]Summary!$R$7</f>
        <v>-</v>
      </c>
      <c r="V30" s="146"/>
      <c r="W30" s="155">
        <f>[25]Summary!$S$7</f>
        <v>0</v>
      </c>
      <c r="X30" s="115">
        <f>[25]Summary!$T$7</f>
        <v>0</v>
      </c>
      <c r="Y30" s="116" t="str">
        <f>[25]Summary!$U$7</f>
        <v>-</v>
      </c>
      <c r="Z30" s="141" t="str">
        <f>[25]Summary!$V$7</f>
        <v>-</v>
      </c>
      <c r="AA30" s="147"/>
      <c r="AB30" s="205">
        <f>[25]Summary!$W$7</f>
        <v>0</v>
      </c>
      <c r="AC30" s="115">
        <f>[25]Summary!$X$7</f>
        <v>0</v>
      </c>
      <c r="AD30" s="116" t="str">
        <f>[25]Summary!$Y$7</f>
        <v>-</v>
      </c>
      <c r="AE30" s="206" t="str">
        <f>[25]Summary!$Z$7</f>
        <v>-</v>
      </c>
      <c r="AF30" s="174"/>
      <c r="AG30" s="143">
        <f>[25]Summary!$AA$7</f>
        <v>42138</v>
      </c>
      <c r="AH30" s="114" t="str">
        <f>[25]Summary!$AB$7</f>
        <v>?</v>
      </c>
      <c r="AI30" s="114" t="str">
        <f>[25]Summary!$AC$7</f>
        <v>?</v>
      </c>
      <c r="AJ30" s="114" t="str">
        <f>[25]Summary!$AD$7</f>
        <v>?</v>
      </c>
      <c r="AK30" s="117" t="str">
        <f>[25]Summary!$AE$7</f>
        <v xml:space="preserve">RTL:
POST:
FPGA: </v>
      </c>
    </row>
    <row r="31" spans="2:37" x14ac:dyDescent="0.3">
      <c r="B31" s="196">
        <v>26</v>
      </c>
      <c r="C31" s="196" t="str">
        <f>[26]Summary!$B$7</f>
        <v>Analog IP</v>
      </c>
      <c r="D31" s="196" t="str">
        <f>[26]Summary!$C$7</f>
        <v>양창호 선임</v>
      </c>
      <c r="E31" s="197" t="str">
        <f>[26]Summary!$D$7</f>
        <v>양창호 선임</v>
      </c>
      <c r="F31" s="146"/>
      <c r="G31" s="198">
        <f>[26]Summary!$E$7</f>
        <v>0</v>
      </c>
      <c r="H31" s="198">
        <f>[26]Summary!$F$7</f>
        <v>0</v>
      </c>
      <c r="I31" s="198">
        <f>[26]Summary!$G$7</f>
        <v>0</v>
      </c>
      <c r="J31" s="198">
        <f>[26]Summary!$H$7</f>
        <v>0</v>
      </c>
      <c r="K31" s="198">
        <f>[26]Summary!$I$7</f>
        <v>0</v>
      </c>
      <c r="L31" s="199">
        <f>[26]Summary!$J$7</f>
        <v>0</v>
      </c>
      <c r="M31" s="200" t="str">
        <f>[26]Summary!$K$7</f>
        <v>-</v>
      </c>
      <c r="N31" s="200">
        <f>[26]Summary!$L$7</f>
        <v>0</v>
      </c>
      <c r="O31" s="200">
        <f>[26]Summary!$M$7</f>
        <v>0</v>
      </c>
      <c r="P31" s="197" t="str">
        <f>[26]Summary!$N$7</f>
        <v>-</v>
      </c>
      <c r="Q31" s="146"/>
      <c r="R31" s="198">
        <f>[26]Summary!$O$7</f>
        <v>0</v>
      </c>
      <c r="S31" s="199">
        <f>[26]Summary!$P$7</f>
        <v>0</v>
      </c>
      <c r="T31" s="200" t="str">
        <f>[26]Summary!$Q$7</f>
        <v>-</v>
      </c>
      <c r="U31" s="197" t="str">
        <f>[26]Summary!$R$7</f>
        <v>-</v>
      </c>
      <c r="V31" s="146"/>
      <c r="W31" s="198">
        <f>[26]Summary!$S$7</f>
        <v>0</v>
      </c>
      <c r="X31" s="199">
        <f>[26]Summary!$T$7</f>
        <v>0</v>
      </c>
      <c r="Y31" s="200" t="str">
        <f>[26]Summary!$U$7</f>
        <v>-</v>
      </c>
      <c r="Z31" s="197" t="str">
        <f>[26]Summary!$V$7</f>
        <v>-</v>
      </c>
      <c r="AA31" s="147"/>
      <c r="AB31" s="207">
        <f>[26]Summary!$W$7</f>
        <v>0</v>
      </c>
      <c r="AC31" s="199">
        <f>[26]Summary!$X$7</f>
        <v>0</v>
      </c>
      <c r="AD31" s="200" t="str">
        <f>[26]Summary!$Y$7</f>
        <v>-</v>
      </c>
      <c r="AE31" s="208" t="str">
        <f>[26]Summary!$Z$7</f>
        <v>-</v>
      </c>
      <c r="AF31" s="174"/>
      <c r="AG31" s="201">
        <f>[26]Summary!$AA$7</f>
        <v>42138</v>
      </c>
      <c r="AH31" s="196" t="str">
        <f>[26]Summary!$AB$7</f>
        <v>?</v>
      </c>
      <c r="AI31" s="196" t="str">
        <f>[26]Summary!$AC$7</f>
        <v>?</v>
      </c>
      <c r="AJ31" s="196" t="str">
        <f>[26]Summary!$AD$7</f>
        <v>?</v>
      </c>
      <c r="AK31" s="202" t="str">
        <f>[26]Summary!$AE$7</f>
        <v xml:space="preserve">RTL:
POST:
FPGA: </v>
      </c>
    </row>
    <row r="32" spans="2:37" x14ac:dyDescent="0.3">
      <c r="B32" s="114">
        <v>27</v>
      </c>
      <c r="C32" s="114" t="str">
        <f>[27]Summary!$B$7</f>
        <v>GPIO</v>
      </c>
      <c r="D32" s="114" t="str">
        <f>[27]Summary!$C$7</f>
        <v>양창호 선임</v>
      </c>
      <c r="E32" s="141" t="str">
        <f>[27]Summary!$D$7</f>
        <v>양창호 선임</v>
      </c>
      <c r="F32" s="146"/>
      <c r="G32" s="155">
        <f>[27]Summary!$E$7</f>
        <v>0</v>
      </c>
      <c r="H32" s="155">
        <f>[27]Summary!$F$7</f>
        <v>0</v>
      </c>
      <c r="I32" s="155">
        <f>[27]Summary!$G$7</f>
        <v>0</v>
      </c>
      <c r="J32" s="155">
        <f>[27]Summary!$H$7</f>
        <v>0</v>
      </c>
      <c r="K32" s="155">
        <f>[27]Summary!$I$7</f>
        <v>0</v>
      </c>
      <c r="L32" s="115">
        <f>[27]Summary!$J$7</f>
        <v>0</v>
      </c>
      <c r="M32" s="116" t="str">
        <f>[27]Summary!$K$7</f>
        <v>-</v>
      </c>
      <c r="N32" s="116">
        <f>[27]Summary!$L$7</f>
        <v>0</v>
      </c>
      <c r="O32" s="116">
        <f>[27]Summary!$M$7</f>
        <v>0</v>
      </c>
      <c r="P32" s="141" t="str">
        <f>[27]Summary!$N$7</f>
        <v>-</v>
      </c>
      <c r="Q32" s="146"/>
      <c r="R32" s="155">
        <f>[27]Summary!$O$7</f>
        <v>0</v>
      </c>
      <c r="S32" s="115">
        <f>[27]Summary!$P$7</f>
        <v>0</v>
      </c>
      <c r="T32" s="116" t="str">
        <f>[27]Summary!$Q$7</f>
        <v>-</v>
      </c>
      <c r="U32" s="141" t="str">
        <f>[27]Summary!$R$7</f>
        <v>-</v>
      </c>
      <c r="V32" s="146"/>
      <c r="W32" s="155">
        <f>[27]Summary!$S$7</f>
        <v>0</v>
      </c>
      <c r="X32" s="115">
        <f>[27]Summary!$T$7</f>
        <v>0</v>
      </c>
      <c r="Y32" s="116" t="str">
        <f>[27]Summary!$U$7</f>
        <v>-</v>
      </c>
      <c r="Z32" s="141" t="str">
        <f>[27]Summary!$V$7</f>
        <v>-</v>
      </c>
      <c r="AA32" s="147"/>
      <c r="AB32" s="205">
        <f>[27]Summary!$W$7</f>
        <v>0</v>
      </c>
      <c r="AC32" s="115">
        <f>[27]Summary!$X$7</f>
        <v>0</v>
      </c>
      <c r="AD32" s="116" t="str">
        <f>[27]Summary!$Y$7</f>
        <v>-</v>
      </c>
      <c r="AE32" s="206" t="str">
        <f>[27]Summary!$Z$7</f>
        <v>-</v>
      </c>
      <c r="AF32" s="174"/>
      <c r="AG32" s="143">
        <f>[27]Summary!$AA$7</f>
        <v>42138</v>
      </c>
      <c r="AH32" s="114" t="str">
        <f>[27]Summary!$AB$7</f>
        <v>?</v>
      </c>
      <c r="AI32" s="114" t="str">
        <f>[27]Summary!$AC$7</f>
        <v>?</v>
      </c>
      <c r="AJ32" s="114" t="str">
        <f>[27]Summary!$AD$7</f>
        <v>?</v>
      </c>
      <c r="AK32" s="117" t="str">
        <f>[27]Summary!$AE$7</f>
        <v xml:space="preserve">RTL:
POST:
FPGA: </v>
      </c>
    </row>
    <row r="33" spans="2:37" x14ac:dyDescent="0.3">
      <c r="B33" s="164" t="s">
        <v>71</v>
      </c>
      <c r="C33" s="164" t="str">
        <f>[28]Summary!$B$7</f>
        <v>End to End</v>
      </c>
      <c r="D33" s="164" t="str">
        <f>[28]Summary!$C$7</f>
        <v>ALL</v>
      </c>
      <c r="E33" s="165" t="str">
        <f>[28]Summary!$D$7</f>
        <v>조성엽 책임</v>
      </c>
      <c r="F33" s="146"/>
      <c r="G33" s="166">
        <f>[28]Summary!$E$7</f>
        <v>0</v>
      </c>
      <c r="H33" s="166">
        <f>[28]Summary!$F$7</f>
        <v>0</v>
      </c>
      <c r="I33" s="166">
        <f>[28]Summary!$G$7</f>
        <v>0</v>
      </c>
      <c r="J33" s="166">
        <f>[28]Summary!$H$7</f>
        <v>0</v>
      </c>
      <c r="K33" s="166">
        <f>[28]Summary!$I$7</f>
        <v>0</v>
      </c>
      <c r="L33" s="167">
        <f>[28]Summary!$J$7</f>
        <v>0</v>
      </c>
      <c r="M33" s="168" t="str">
        <f>[28]Summary!$K$7</f>
        <v>-</v>
      </c>
      <c r="N33" s="168">
        <f>[28]Summary!$L$7</f>
        <v>0</v>
      </c>
      <c r="O33" s="168">
        <f>[28]Summary!$M$7</f>
        <v>0</v>
      </c>
      <c r="P33" s="165" t="str">
        <f>[28]Summary!$N$7</f>
        <v>-</v>
      </c>
      <c r="Q33" s="146"/>
      <c r="R33" s="166">
        <f>[28]Summary!$O$7</f>
        <v>0</v>
      </c>
      <c r="S33" s="167">
        <f>[28]Summary!$P$7</f>
        <v>0</v>
      </c>
      <c r="T33" s="168" t="str">
        <f>[28]Summary!$Q$7</f>
        <v>-</v>
      </c>
      <c r="U33" s="165" t="str">
        <f>[28]Summary!$R$7</f>
        <v>-</v>
      </c>
      <c r="V33" s="146"/>
      <c r="W33" s="166">
        <f>[28]Summary!$S$7</f>
        <v>0</v>
      </c>
      <c r="X33" s="167">
        <f>[28]Summary!$T$7</f>
        <v>0</v>
      </c>
      <c r="Y33" s="168" t="str">
        <f>[28]Summary!$U$7</f>
        <v>-</v>
      </c>
      <c r="Z33" s="165" t="str">
        <f>[28]Summary!$V$7</f>
        <v>-</v>
      </c>
      <c r="AA33" s="147"/>
      <c r="AB33" s="209">
        <f>[28]Summary!$W$7</f>
        <v>0</v>
      </c>
      <c r="AC33" s="167">
        <f>[28]Summary!$X$7</f>
        <v>0</v>
      </c>
      <c r="AD33" s="168" t="str">
        <f>[28]Summary!$Y$7</f>
        <v>-</v>
      </c>
      <c r="AE33" s="210" t="str">
        <f>[28]Summary!$Z$7</f>
        <v>-</v>
      </c>
      <c r="AF33" s="174"/>
      <c r="AG33" s="203">
        <f>[28]Summary!$AA$7</f>
        <v>42138</v>
      </c>
      <c r="AH33" s="164" t="str">
        <f>[28]Summary!$AB$7</f>
        <v>?</v>
      </c>
      <c r="AI33" s="164" t="str">
        <f>[28]Summary!$AC$7</f>
        <v>?</v>
      </c>
      <c r="AJ33" s="164" t="str">
        <f>[28]Summary!$AD$7</f>
        <v>?</v>
      </c>
      <c r="AK33" s="204" t="str">
        <f>[28]Summary!$AE$7</f>
        <v xml:space="preserve">RTL:
POST:
FPGA: </v>
      </c>
    </row>
    <row r="34" spans="2:37" x14ac:dyDescent="0.3">
      <c r="B34" s="164" t="s">
        <v>71</v>
      </c>
      <c r="C34" s="164" t="str">
        <f>[29]Summary!$B$7</f>
        <v>Post-Silicon Validation</v>
      </c>
      <c r="D34" s="164" t="str">
        <f>[29]Summary!$C$7</f>
        <v>ALL</v>
      </c>
      <c r="E34" s="165" t="str">
        <f>[29]Summary!$D$7</f>
        <v>ALL</v>
      </c>
      <c r="F34" s="146"/>
      <c r="G34" s="166"/>
      <c r="H34" s="166"/>
      <c r="I34" s="166"/>
      <c r="J34" s="166"/>
      <c r="K34" s="166"/>
      <c r="L34" s="167"/>
      <c r="M34" s="168"/>
      <c r="N34" s="168"/>
      <c r="O34" s="168"/>
      <c r="P34" s="165"/>
      <c r="Q34" s="146"/>
      <c r="R34" s="166"/>
      <c r="S34" s="167"/>
      <c r="T34" s="168"/>
      <c r="U34" s="165"/>
      <c r="V34" s="146"/>
      <c r="W34" s="166"/>
      <c r="X34" s="167"/>
      <c r="Y34" s="168"/>
      <c r="Z34" s="165"/>
      <c r="AA34" s="147"/>
      <c r="AB34" s="209"/>
      <c r="AC34" s="167"/>
      <c r="AD34" s="168"/>
      <c r="AE34" s="210"/>
      <c r="AF34" s="174"/>
      <c r="AG34" s="203"/>
      <c r="AH34" s="164"/>
      <c r="AI34" s="164"/>
      <c r="AJ34" s="164"/>
      <c r="AK34" s="204"/>
    </row>
    <row r="35" spans="2:37" x14ac:dyDescent="0.3">
      <c r="B35" s="309" t="s">
        <v>32</v>
      </c>
      <c r="C35" s="309"/>
      <c r="D35" s="310"/>
      <c r="E35" s="311"/>
      <c r="F35" s="176"/>
      <c r="G35" s="161">
        <f>AVERAGE(G6:G33)</f>
        <v>0</v>
      </c>
      <c r="H35" s="161">
        <f t="shared" ref="H35:K35" si="0">AVERAGE(H6:H33)</f>
        <v>0</v>
      </c>
      <c r="I35" s="161">
        <f t="shared" si="0"/>
        <v>0</v>
      </c>
      <c r="J35" s="161">
        <f t="shared" si="0"/>
        <v>0</v>
      </c>
      <c r="K35" s="161">
        <f t="shared" si="0"/>
        <v>0</v>
      </c>
      <c r="L35" s="108">
        <f>AVERAGE(L6:L33)</f>
        <v>0</v>
      </c>
      <c r="M35" s="109"/>
      <c r="N35" s="110">
        <f>AVERAGE(N7:N33)</f>
        <v>0</v>
      </c>
      <c r="O35" s="110">
        <f>AVERAGE(O6:O33)</f>
        <v>0</v>
      </c>
      <c r="P35" s="142"/>
      <c r="Q35" s="146"/>
      <c r="R35" s="161">
        <f>AVERAGE(R6:R33)</f>
        <v>0</v>
      </c>
      <c r="S35" s="108">
        <f>AVERAGE(S6:S33)</f>
        <v>0</v>
      </c>
      <c r="T35" s="109" t="s">
        <v>31</v>
      </c>
      <c r="U35" s="142"/>
      <c r="V35" s="146"/>
      <c r="W35" s="161">
        <f>AVERAGE(W6:W33)</f>
        <v>0</v>
      </c>
      <c r="X35" s="108">
        <f>AVERAGE(X6:X33)</f>
        <v>0</v>
      </c>
      <c r="Y35" s="109" t="s">
        <v>31</v>
      </c>
      <c r="Z35" s="142"/>
      <c r="AA35" s="147"/>
      <c r="AB35" s="211">
        <f>AVERAGE(AB6:AB33)</f>
        <v>0</v>
      </c>
      <c r="AC35" s="108">
        <f>AVERAGE(AC6:AC33)</f>
        <v>0</v>
      </c>
      <c r="AD35" s="109" t="s">
        <v>31</v>
      </c>
      <c r="AE35" s="212"/>
      <c r="AF35" s="111"/>
      <c r="AH35" s="106"/>
      <c r="AI35" s="106"/>
      <c r="AJ35" s="106"/>
      <c r="AK35" s="107"/>
    </row>
    <row r="36" spans="2:37" x14ac:dyDescent="0.3">
      <c r="B36" s="309" t="s">
        <v>72</v>
      </c>
      <c r="C36" s="309"/>
      <c r="D36" s="307"/>
      <c r="E36" s="308"/>
      <c r="F36" s="176"/>
      <c r="G36" s="154">
        <f>SUM(G6:G33)</f>
        <v>0</v>
      </c>
      <c r="H36" s="154">
        <f t="shared" ref="H36:K36" si="1">SUM(H6:H33)</f>
        <v>0</v>
      </c>
      <c r="I36" s="154">
        <f t="shared" si="1"/>
        <v>0</v>
      </c>
      <c r="J36" s="154">
        <f t="shared" si="1"/>
        <v>0</v>
      </c>
      <c r="K36" s="154">
        <f t="shared" si="1"/>
        <v>0</v>
      </c>
      <c r="L36" s="178">
        <f>SUM(L6:L33)</f>
        <v>0</v>
      </c>
      <c r="M36" s="179" t="str">
        <f>IF(G36=0, "-", L36/G36)</f>
        <v>-</v>
      </c>
      <c r="N36" s="175" t="s">
        <v>31</v>
      </c>
      <c r="O36" s="175" t="s">
        <v>31</v>
      </c>
      <c r="P36" s="169"/>
      <c r="Q36" s="146"/>
      <c r="R36" s="177">
        <f>SUM(R6:R33)</f>
        <v>0</v>
      </c>
      <c r="S36" s="183">
        <f>SUM(S6:S33)</f>
        <v>0</v>
      </c>
      <c r="T36" s="184" t="str">
        <f>IF(R36=0, "-", S36/R36)</f>
        <v>-</v>
      </c>
      <c r="U36" s="142"/>
      <c r="V36" s="146"/>
      <c r="W36" s="214">
        <f>SUM(W6:W33)</f>
        <v>0</v>
      </c>
      <c r="X36" s="215">
        <f>SUM(X6:X33)</f>
        <v>0</v>
      </c>
      <c r="Y36" s="216" t="str">
        <f>IF(W36=0, "-", X36/W36)</f>
        <v>-</v>
      </c>
      <c r="Z36" s="217"/>
      <c r="AA36" s="218"/>
      <c r="AB36" s="219">
        <f>SUM(AB6:AB33)</f>
        <v>0</v>
      </c>
      <c r="AC36" s="220">
        <f>SUM(AC6:AC33)</f>
        <v>0</v>
      </c>
      <c r="AD36" s="221" t="str">
        <f>IF(AB36=0, "-", AC36/AB36)</f>
        <v>-</v>
      </c>
      <c r="AE36" s="213"/>
    </row>
    <row r="37" spans="2:37" x14ac:dyDescent="0.3">
      <c r="B37" s="303" t="s">
        <v>42</v>
      </c>
      <c r="C37" s="303"/>
      <c r="D37" s="304"/>
      <c r="E37" s="305"/>
      <c r="F37" s="194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4"/>
      <c r="R37" s="180">
        <f>G36+R36</f>
        <v>0</v>
      </c>
      <c r="S37" s="181">
        <f>L36+S36</f>
        <v>0</v>
      </c>
      <c r="T37" s="182" t="str">
        <f>IF(R37=0, "-", S37/R37)</f>
        <v>-</v>
      </c>
      <c r="U37" s="142"/>
      <c r="V37" s="147"/>
      <c r="W37" s="170"/>
      <c r="X37" s="171"/>
      <c r="Y37" s="172"/>
      <c r="Z37" s="173"/>
      <c r="AA37" s="111"/>
      <c r="AB37" s="186"/>
      <c r="AC37" s="191"/>
      <c r="AD37" s="192"/>
      <c r="AE37" s="140"/>
    </row>
    <row r="38" spans="2:37" x14ac:dyDescent="0.3">
      <c r="AB38" s="107"/>
      <c r="AC38" s="107"/>
      <c r="AD38" s="107"/>
      <c r="AE38" s="107"/>
    </row>
    <row r="39" spans="2:37" x14ac:dyDescent="0.3">
      <c r="AB39" s="107"/>
      <c r="AC39" s="107"/>
      <c r="AD39" s="107"/>
      <c r="AE39" s="107"/>
      <c r="AG39" s="159">
        <v>1</v>
      </c>
      <c r="AH39" s="160"/>
    </row>
    <row r="40" spans="2:37" x14ac:dyDescent="0.3">
      <c r="AG40" s="157">
        <v>0.9</v>
      </c>
      <c r="AH40" s="156"/>
    </row>
    <row r="41" spans="2:37" x14ac:dyDescent="0.3">
      <c r="AG41" s="157">
        <v>0.7</v>
      </c>
      <c r="AH41" s="157"/>
    </row>
    <row r="42" spans="2:37" x14ac:dyDescent="0.3">
      <c r="AG42" s="157">
        <v>0.5</v>
      </c>
      <c r="AH42" s="157"/>
    </row>
    <row r="43" spans="2:37" x14ac:dyDescent="0.3">
      <c r="AG43" s="158">
        <v>0</v>
      </c>
      <c r="AH43" s="157"/>
    </row>
    <row r="46" spans="2:37" x14ac:dyDescent="0.3">
      <c r="AH46" s="195"/>
      <c r="AI46" s="162"/>
    </row>
  </sheetData>
  <mergeCells count="40">
    <mergeCell ref="AI2:AK2"/>
    <mergeCell ref="AB3:AE3"/>
    <mergeCell ref="AK3:AK5"/>
    <mergeCell ref="B2:AG2"/>
    <mergeCell ref="B35:C35"/>
    <mergeCell ref="D35:E35"/>
    <mergeCell ref="W3:Z3"/>
    <mergeCell ref="R3:U3"/>
    <mergeCell ref="G3:P3"/>
    <mergeCell ref="E3:E5"/>
    <mergeCell ref="D3:D5"/>
    <mergeCell ref="AG3:AJ3"/>
    <mergeCell ref="B3:B5"/>
    <mergeCell ref="C3:C5"/>
    <mergeCell ref="G4:H4"/>
    <mergeCell ref="I4:J4"/>
    <mergeCell ref="D36:E36"/>
    <mergeCell ref="D37:E37"/>
    <mergeCell ref="B36:C36"/>
    <mergeCell ref="B37:C37"/>
    <mergeCell ref="K4:L4"/>
    <mergeCell ref="N4:N5"/>
    <mergeCell ref="O4:O5"/>
    <mergeCell ref="P4:P5"/>
    <mergeCell ref="R4:R5"/>
    <mergeCell ref="S4:S5"/>
    <mergeCell ref="T4:T5"/>
    <mergeCell ref="U4:U5"/>
    <mergeCell ref="W4:W5"/>
    <mergeCell ref="X4:X5"/>
    <mergeCell ref="Y4:Y5"/>
    <mergeCell ref="AG4:AG5"/>
    <mergeCell ref="AH4:AH5"/>
    <mergeCell ref="AI4:AI5"/>
    <mergeCell ref="AJ4:AJ5"/>
    <mergeCell ref="Z4:Z5"/>
    <mergeCell ref="AB4:AB5"/>
    <mergeCell ref="AC4:AC5"/>
    <mergeCell ref="AD4:AD5"/>
    <mergeCell ref="AE4:AE5"/>
  </mergeCells>
  <phoneticPr fontId="1" type="noConversion"/>
  <conditionalFormatting sqref="AG39:AG43 T6:T34 M6:O34 Y6:Y34 AD6:AD34">
    <cfRule type="iconSet" priority="17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G6:K34">
    <cfRule type="dataBar" priority="1180">
      <dataBar>
        <cfvo type="min"/>
        <cfvo type="max"/>
        <color rgb="FF63C384"/>
      </dataBar>
    </cfRule>
  </conditionalFormatting>
  <conditionalFormatting sqref="L6:L34">
    <cfRule type="dataBar" priority="1182">
      <dataBar>
        <cfvo type="min"/>
        <cfvo type="max"/>
        <color rgb="FF63C384"/>
      </dataBar>
    </cfRule>
  </conditionalFormatting>
  <conditionalFormatting sqref="R6:S34">
    <cfRule type="dataBar" priority="1184">
      <dataBar>
        <cfvo type="min"/>
        <cfvo type="max"/>
        <color rgb="FF63C384"/>
      </dataBar>
    </cfRule>
  </conditionalFormatting>
  <conditionalFormatting sqref="AB6:AC34 W6:X34">
    <cfRule type="dataBar" priority="1186">
      <dataBar>
        <cfvo type="min"/>
        <cfvo type="max"/>
        <color rgb="FF63C384"/>
      </dataBar>
    </cfRule>
  </conditionalFormatting>
  <conditionalFormatting sqref="AG6:AG34">
    <cfRule type="colorScale" priority="1190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3075" r:id="rId4">
          <objectPr defaultSize="0" autoPict="0" r:id="rId5">
            <anchor moveWithCells="1">
              <from>
                <xdr:col>37</xdr:col>
                <xdr:colOff>38100</xdr:colOff>
                <xdr:row>2</xdr:row>
                <xdr:rowOff>9525</xdr:rowOff>
              </from>
              <to>
                <xdr:col>38</xdr:col>
                <xdr:colOff>542925</xdr:colOff>
                <xdr:row>5</xdr:row>
                <xdr:rowOff>114300</xdr:rowOff>
              </to>
            </anchor>
          </objectPr>
        </oleObject>
      </mc:Choice>
      <mc:Fallback>
        <oleObject progId="Visio.Drawing.11" shapeId="3075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18"/>
  <sheetViews>
    <sheetView showGridLines="0" zoomScaleNormal="100" workbookViewId="0">
      <selection activeCell="U36" sqref="U36"/>
    </sheetView>
  </sheetViews>
  <sheetFormatPr defaultRowHeight="12" x14ac:dyDescent="0.3"/>
  <cols>
    <col min="1" max="1" width="3.125" style="51" customWidth="1"/>
    <col min="2" max="2" width="11.25" style="51" customWidth="1"/>
    <col min="3" max="3" width="5.75" style="51" bestFit="1" customWidth="1"/>
    <col min="4" max="4" width="5.875" style="51" bestFit="1" customWidth="1"/>
    <col min="5" max="5" width="5.75" style="51" bestFit="1" customWidth="1"/>
    <col min="6" max="6" width="6.125" style="51" bestFit="1" customWidth="1"/>
    <col min="7" max="7" width="5.75" style="51" bestFit="1" customWidth="1"/>
    <col min="8" max="8" width="5.25" style="51" bestFit="1" customWidth="1"/>
    <col min="9" max="9" width="5.75" style="51" bestFit="1" customWidth="1"/>
    <col min="10" max="10" width="5.875" style="51" bestFit="1" customWidth="1"/>
    <col min="11" max="11" width="5.75" style="51" bestFit="1" customWidth="1"/>
    <col min="12" max="12" width="5.25" style="51" bestFit="1" customWidth="1"/>
    <col min="13" max="13" width="5.75" style="51" bestFit="1" customWidth="1"/>
    <col min="14" max="14" width="5.875" style="51" bestFit="1" customWidth="1"/>
    <col min="15" max="15" width="6.75" style="51" bestFit="1" customWidth="1"/>
    <col min="16" max="16" width="5.25" style="51" bestFit="1" customWidth="1"/>
    <col min="17" max="17" width="5.75" style="51" bestFit="1" customWidth="1"/>
    <col min="18" max="18" width="5.875" style="51" bestFit="1" customWidth="1"/>
    <col min="19" max="19" width="6.625" style="51" bestFit="1" customWidth="1"/>
    <col min="20" max="20" width="5.25" style="51" bestFit="1" customWidth="1"/>
    <col min="21" max="16384" width="9" style="51"/>
  </cols>
  <sheetData>
    <row r="2" spans="2:20" ht="20.25" x14ac:dyDescent="0.3">
      <c r="B2" s="50" t="s">
        <v>24</v>
      </c>
    </row>
    <row r="3" spans="2:20" ht="4.5" customHeight="1" x14ac:dyDescent="0.3"/>
    <row r="4" spans="2:20" ht="14.25" customHeight="1" x14ac:dyDescent="0.3">
      <c r="B4" s="377" t="s">
        <v>69</v>
      </c>
      <c r="C4" s="289" t="s">
        <v>36</v>
      </c>
      <c r="D4" s="289"/>
      <c r="E4" s="289"/>
      <c r="F4" s="289"/>
      <c r="G4" s="289"/>
      <c r="H4" s="289"/>
      <c r="I4" s="289" t="s">
        <v>14</v>
      </c>
      <c r="J4" s="289"/>
      <c r="K4" s="289"/>
      <c r="L4" s="289"/>
      <c r="M4" s="289" t="s">
        <v>37</v>
      </c>
      <c r="N4" s="289"/>
      <c r="O4" s="289"/>
      <c r="P4" s="289"/>
      <c r="Q4" s="289" t="s">
        <v>38</v>
      </c>
      <c r="R4" s="289"/>
      <c r="S4" s="289"/>
      <c r="T4" s="289"/>
    </row>
    <row r="5" spans="2:20" ht="36" x14ac:dyDescent="0.3">
      <c r="B5" s="377"/>
      <c r="C5" s="122" t="s">
        <v>0</v>
      </c>
      <c r="D5" s="122" t="s">
        <v>7</v>
      </c>
      <c r="E5" s="122" t="s">
        <v>39</v>
      </c>
      <c r="F5" s="124" t="s">
        <v>40</v>
      </c>
      <c r="G5" s="124" t="s">
        <v>41</v>
      </c>
      <c r="H5" s="124" t="s">
        <v>10</v>
      </c>
      <c r="I5" s="122" t="s">
        <v>0</v>
      </c>
      <c r="J5" s="122" t="s">
        <v>7</v>
      </c>
      <c r="K5" s="122" t="s">
        <v>39</v>
      </c>
      <c r="L5" s="124" t="s">
        <v>10</v>
      </c>
      <c r="M5" s="122" t="s">
        <v>0</v>
      </c>
      <c r="N5" s="122" t="s">
        <v>7</v>
      </c>
      <c r="O5" s="122" t="s">
        <v>39</v>
      </c>
      <c r="P5" s="124" t="s">
        <v>10</v>
      </c>
      <c r="Q5" s="121" t="s">
        <v>0</v>
      </c>
      <c r="R5" s="121" t="s">
        <v>7</v>
      </c>
      <c r="S5" s="121" t="s">
        <v>39</v>
      </c>
      <c r="T5" s="123" t="s">
        <v>10</v>
      </c>
    </row>
    <row r="6" spans="2:20" x14ac:dyDescent="0.3">
      <c r="B6" s="148"/>
      <c r="C6" s="153"/>
      <c r="D6" s="149"/>
      <c r="E6" s="150"/>
      <c r="F6" s="150"/>
      <c r="G6" s="150"/>
      <c r="H6" s="153"/>
      <c r="I6" s="153"/>
      <c r="J6" s="149"/>
      <c r="K6" s="150"/>
      <c r="L6" s="153"/>
      <c r="M6" s="153"/>
      <c r="N6" s="149"/>
      <c r="O6" s="150"/>
      <c r="P6" s="149"/>
      <c r="Q6" s="153"/>
      <c r="R6" s="149"/>
      <c r="S6" s="150"/>
      <c r="T6" s="153"/>
    </row>
    <row r="7" spans="2:20" x14ac:dyDescent="0.3">
      <c r="B7" s="148"/>
      <c r="C7" s="153"/>
      <c r="D7" s="149"/>
      <c r="E7" s="150"/>
      <c r="F7" s="150"/>
      <c r="G7" s="150"/>
      <c r="H7" s="153"/>
      <c r="I7" s="153"/>
      <c r="J7" s="149"/>
      <c r="K7" s="150"/>
      <c r="L7" s="153"/>
      <c r="M7" s="153"/>
      <c r="N7" s="149"/>
      <c r="O7" s="150"/>
      <c r="P7" s="149"/>
      <c r="Q7" s="153"/>
      <c r="R7" s="149"/>
      <c r="S7" s="150"/>
      <c r="T7" s="153"/>
    </row>
    <row r="8" spans="2:20" x14ac:dyDescent="0.3">
      <c r="B8" s="148"/>
      <c r="C8" s="153"/>
      <c r="D8" s="149"/>
      <c r="E8" s="150"/>
      <c r="F8" s="150"/>
      <c r="G8" s="150"/>
      <c r="H8" s="153"/>
      <c r="I8" s="153"/>
      <c r="J8" s="149"/>
      <c r="K8" s="150"/>
      <c r="L8" s="153"/>
      <c r="M8" s="153"/>
      <c r="N8" s="149"/>
      <c r="O8" s="150"/>
      <c r="P8" s="149"/>
      <c r="Q8" s="153"/>
      <c r="R8" s="149"/>
      <c r="S8" s="150"/>
      <c r="T8" s="153"/>
    </row>
    <row r="9" spans="2:20" x14ac:dyDescent="0.3">
      <c r="B9" s="148"/>
      <c r="C9" s="153"/>
      <c r="D9" s="149"/>
      <c r="E9" s="150"/>
      <c r="F9" s="150"/>
      <c r="G9" s="150"/>
      <c r="H9" s="153"/>
      <c r="I9" s="153"/>
      <c r="J9" s="149"/>
      <c r="K9" s="150"/>
      <c r="L9" s="153"/>
      <c r="M9" s="153"/>
      <c r="N9" s="149"/>
      <c r="O9" s="150"/>
      <c r="P9" s="149"/>
      <c r="Q9" s="153"/>
      <c r="R9" s="149"/>
      <c r="S9" s="150"/>
      <c r="T9" s="153"/>
    </row>
    <row r="10" spans="2:20" x14ac:dyDescent="0.3">
      <c r="B10" s="148"/>
      <c r="C10" s="153"/>
      <c r="D10" s="149"/>
      <c r="E10" s="150"/>
      <c r="F10" s="150"/>
      <c r="G10" s="150"/>
      <c r="H10" s="153"/>
      <c r="I10" s="153"/>
      <c r="J10" s="149"/>
      <c r="K10" s="150"/>
      <c r="L10" s="153"/>
      <c r="M10" s="153"/>
      <c r="N10" s="149"/>
      <c r="O10" s="150"/>
      <c r="P10" s="149"/>
      <c r="Q10" s="153"/>
      <c r="R10" s="149"/>
      <c r="S10" s="150"/>
      <c r="T10" s="153"/>
    </row>
    <row r="11" spans="2:20" x14ac:dyDescent="0.3">
      <c r="B11" s="148"/>
      <c r="C11" s="153"/>
      <c r="D11" s="149"/>
      <c r="E11" s="150"/>
      <c r="F11" s="150"/>
      <c r="G11" s="150"/>
      <c r="H11" s="153"/>
      <c r="I11" s="153"/>
      <c r="J11" s="149"/>
      <c r="K11" s="150"/>
      <c r="L11" s="153"/>
      <c r="M11" s="153"/>
      <c r="N11" s="149"/>
      <c r="O11" s="150"/>
      <c r="P11" s="149"/>
      <c r="Q11" s="153"/>
      <c r="R11" s="149"/>
      <c r="S11" s="150"/>
      <c r="T11" s="153"/>
    </row>
    <row r="12" spans="2:20" x14ac:dyDescent="0.3">
      <c r="B12" s="148"/>
      <c r="C12" s="153"/>
      <c r="D12" s="149"/>
      <c r="E12" s="150"/>
      <c r="F12" s="150"/>
      <c r="G12" s="150"/>
      <c r="H12" s="153"/>
      <c r="I12" s="153"/>
      <c r="J12" s="149"/>
      <c r="K12" s="150"/>
      <c r="L12" s="153"/>
      <c r="M12" s="153"/>
      <c r="N12" s="149"/>
      <c r="O12" s="150"/>
      <c r="P12" s="149"/>
      <c r="Q12" s="153"/>
      <c r="R12" s="149"/>
      <c r="S12" s="150"/>
      <c r="T12" s="153"/>
    </row>
    <row r="13" spans="2:20" x14ac:dyDescent="0.3">
      <c r="B13" s="148"/>
      <c r="C13" s="153"/>
      <c r="D13" s="149"/>
      <c r="E13" s="150"/>
      <c r="F13" s="150"/>
      <c r="G13" s="150"/>
      <c r="H13" s="153"/>
      <c r="I13" s="153"/>
      <c r="J13" s="149"/>
      <c r="K13" s="150"/>
      <c r="L13" s="153"/>
      <c r="M13" s="153"/>
      <c r="N13" s="149"/>
      <c r="O13" s="150"/>
      <c r="P13" s="149"/>
      <c r="Q13" s="153"/>
      <c r="R13" s="149"/>
      <c r="S13" s="150"/>
      <c r="T13" s="153"/>
    </row>
    <row r="14" spans="2:20" x14ac:dyDescent="0.3">
      <c r="B14" s="148"/>
      <c r="C14" s="153"/>
      <c r="D14" s="149"/>
      <c r="E14" s="150"/>
      <c r="F14" s="150"/>
      <c r="G14" s="150"/>
      <c r="H14" s="153"/>
      <c r="I14" s="153"/>
      <c r="J14" s="149"/>
      <c r="K14" s="150"/>
      <c r="L14" s="153"/>
      <c r="M14" s="153"/>
      <c r="N14" s="149"/>
      <c r="O14" s="150"/>
      <c r="P14" s="149"/>
      <c r="Q14" s="153"/>
      <c r="R14" s="149"/>
      <c r="S14" s="150"/>
      <c r="T14" s="153"/>
    </row>
    <row r="15" spans="2:20" x14ac:dyDescent="0.3">
      <c r="B15" s="148"/>
      <c r="C15" s="153"/>
      <c r="D15" s="149"/>
      <c r="E15" s="150"/>
      <c r="F15" s="150"/>
      <c r="G15" s="150"/>
      <c r="H15" s="153"/>
      <c r="I15" s="153"/>
      <c r="J15" s="149"/>
      <c r="K15" s="150"/>
      <c r="L15" s="153"/>
      <c r="M15" s="153"/>
      <c r="N15" s="149"/>
      <c r="O15" s="150"/>
      <c r="P15" s="149"/>
      <c r="Q15" s="153"/>
      <c r="R15" s="149"/>
      <c r="S15" s="150"/>
      <c r="T15" s="153"/>
    </row>
    <row r="16" spans="2:20" x14ac:dyDescent="0.3">
      <c r="B16" s="148"/>
      <c r="C16" s="153"/>
      <c r="D16" s="149"/>
      <c r="E16" s="150"/>
      <c r="F16" s="150"/>
      <c r="G16" s="150"/>
      <c r="H16" s="153"/>
      <c r="I16" s="153"/>
      <c r="J16" s="149"/>
      <c r="K16" s="150"/>
      <c r="L16" s="153"/>
      <c r="M16" s="153"/>
      <c r="N16" s="149"/>
      <c r="O16" s="150"/>
      <c r="P16" s="149"/>
      <c r="Q16" s="153"/>
      <c r="R16" s="149"/>
      <c r="S16" s="150"/>
      <c r="T16" s="153"/>
    </row>
    <row r="17" spans="2:20" x14ac:dyDescent="0.3">
      <c r="B17" s="148"/>
      <c r="C17" s="153"/>
      <c r="D17" s="149"/>
      <c r="E17" s="150"/>
      <c r="F17" s="150"/>
      <c r="G17" s="150"/>
      <c r="H17" s="153"/>
      <c r="I17" s="153"/>
      <c r="J17" s="149"/>
      <c r="K17" s="150"/>
      <c r="L17" s="153"/>
      <c r="M17" s="153"/>
      <c r="N17" s="149"/>
      <c r="O17" s="150"/>
      <c r="P17" s="149"/>
      <c r="Q17" s="153"/>
      <c r="R17" s="149"/>
      <c r="S17" s="150"/>
      <c r="T17" s="153"/>
    </row>
    <row r="18" spans="2:20" x14ac:dyDescent="0.3">
      <c r="B18" s="148"/>
      <c r="C18" s="149"/>
      <c r="D18" s="149"/>
      <c r="E18" s="150"/>
      <c r="F18" s="150"/>
      <c r="G18" s="150"/>
      <c r="H18" s="149"/>
      <c r="I18" s="149"/>
      <c r="J18" s="149"/>
      <c r="K18" s="150"/>
      <c r="L18" s="149"/>
      <c r="M18" s="149"/>
      <c r="N18" s="149"/>
      <c r="O18" s="150"/>
      <c r="P18" s="152"/>
      <c r="Q18" s="151"/>
      <c r="R18" s="151"/>
      <c r="S18" s="163"/>
      <c r="T18" s="151"/>
    </row>
  </sheetData>
  <mergeCells count="5">
    <mergeCell ref="C4:H4"/>
    <mergeCell ref="I4:L4"/>
    <mergeCell ref="M4:P4"/>
    <mergeCell ref="Q4:T4"/>
    <mergeCell ref="B4:B5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5361" r:id="rId4">
          <objectPr defaultSize="0" autoPict="0" r:id="rId5">
            <anchor moveWithCells="1">
              <from>
                <xdr:col>20</xdr:col>
                <xdr:colOff>47625</xdr:colOff>
                <xdr:row>0</xdr:row>
                <xdr:rowOff>104775</xdr:rowOff>
              </from>
              <to>
                <xdr:col>21</xdr:col>
                <xdr:colOff>552450</xdr:colOff>
                <xdr:row>4</xdr:row>
                <xdr:rowOff>19050</xdr:rowOff>
              </to>
            </anchor>
          </objectPr>
        </oleObject>
      </mc:Choice>
      <mc:Fallback>
        <oleObject progId="Visio.Drawing.11" shapeId="1536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G77" sqref="G77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4097" r:id="rId3">
          <objectPr defaultSize="0" autoPict="0" r:id="rId4">
            <anchor moveWithCells="1">
              <from>
                <xdr:col>8</xdr:col>
                <xdr:colOff>28575</xdr:colOff>
                <xdr:row>0</xdr:row>
                <xdr:rowOff>57150</xdr:rowOff>
              </from>
              <to>
                <xdr:col>9</xdr:col>
                <xdr:colOff>533400</xdr:colOff>
                <xdr:row>2</xdr:row>
                <xdr:rowOff>200025</xdr:rowOff>
              </to>
            </anchor>
          </objectPr>
        </oleObject>
      </mc:Choice>
      <mc:Fallback>
        <oleObject progId="Visio.Drawing.11" shapeId="4097" r:id="rId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78:AF80"/>
  <sheetViews>
    <sheetView showGridLines="0" zoomScale="90" zoomScaleNormal="90" workbookViewId="0">
      <selection activeCell="AF28" sqref="AF28"/>
    </sheetView>
  </sheetViews>
  <sheetFormatPr defaultRowHeight="12" x14ac:dyDescent="0.3"/>
  <cols>
    <col min="1" max="1" width="3.75" style="102" customWidth="1"/>
    <col min="2" max="2" width="9" style="104"/>
    <col min="3" max="3" width="17.75" style="104" bestFit="1" customWidth="1"/>
    <col min="4" max="4" width="4.125" style="104" bestFit="1" customWidth="1"/>
    <col min="5" max="7" width="3.25" style="104" bestFit="1" customWidth="1"/>
    <col min="8" max="8" width="2.375" style="104" bestFit="1" customWidth="1"/>
    <col min="9" max="13" width="3.25" style="104" bestFit="1" customWidth="1"/>
    <col min="14" max="15" width="2.375" style="104" bestFit="1" customWidth="1"/>
    <col min="16" max="16" width="2.5" style="104" bestFit="1" customWidth="1"/>
    <col min="17" max="19" width="2.375" style="104" bestFit="1" customWidth="1"/>
    <col min="20" max="20" width="3.25" style="104" bestFit="1" customWidth="1"/>
    <col min="21" max="21" width="2.5" style="104" bestFit="1" customWidth="1"/>
    <col min="22" max="23" width="2.375" style="104" bestFit="1" customWidth="1"/>
    <col min="24" max="24" width="4.25" style="104" bestFit="1" customWidth="1"/>
    <col min="25" max="26" width="4.125" style="104" bestFit="1" customWidth="1"/>
    <col min="27" max="28" width="5.25" style="104" bestFit="1" customWidth="1"/>
    <col min="29" max="29" width="3.25" style="104" bestFit="1" customWidth="1"/>
    <col min="30" max="30" width="5.25" style="104" bestFit="1" customWidth="1"/>
    <col min="31" max="31" width="5.125" style="104" bestFit="1" customWidth="1"/>
    <col min="32" max="32" width="4.75" style="104" bestFit="1" customWidth="1"/>
    <col min="33" max="16384" width="9" style="102"/>
  </cols>
  <sheetData>
    <row r="78" spans="24:27" x14ac:dyDescent="0.3">
      <c r="X78" s="111"/>
      <c r="Y78" s="112"/>
      <c r="Z78" s="112"/>
      <c r="AA78" s="111"/>
    </row>
    <row r="79" spans="24:27" x14ac:dyDescent="0.3">
      <c r="X79" s="111"/>
      <c r="Y79" s="112"/>
      <c r="Z79" s="112"/>
      <c r="AA79" s="111"/>
    </row>
    <row r="80" spans="24:27" x14ac:dyDescent="0.3">
      <c r="X80" s="111"/>
      <c r="Y80" s="111"/>
      <c r="Z80" s="111"/>
      <c r="AA80" s="11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5121" r:id="rId4">
          <objectPr defaultSize="0" autoPict="0" r:id="rId5">
            <anchor moveWithCells="1">
              <from>
                <xdr:col>41</xdr:col>
                <xdr:colOff>323850</xdr:colOff>
                <xdr:row>1</xdr:row>
                <xdr:rowOff>38100</xdr:rowOff>
              </from>
              <to>
                <xdr:col>43</xdr:col>
                <xdr:colOff>142875</xdr:colOff>
                <xdr:row>4</xdr:row>
                <xdr:rowOff>133350</xdr:rowOff>
              </to>
            </anchor>
          </objectPr>
        </oleObject>
      </mc:Choice>
      <mc:Fallback>
        <oleObject progId="Visio.Drawing.11" shapeId="512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F37"/>
  <sheetViews>
    <sheetView workbookViewId="0">
      <selection activeCell="M19" sqref="M19"/>
    </sheetView>
  </sheetViews>
  <sheetFormatPr defaultRowHeight="16.5" x14ac:dyDescent="0.3"/>
  <cols>
    <col min="2" max="2" width="5.125" customWidth="1"/>
    <col min="4" max="32" width="5.125" customWidth="1"/>
  </cols>
  <sheetData>
    <row r="2" spans="2:32" s="102" customFormat="1" ht="12" x14ac:dyDescent="0.3">
      <c r="B2" s="378"/>
      <c r="C2" s="378"/>
      <c r="D2" s="309" t="s">
        <v>43</v>
      </c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 t="s">
        <v>44</v>
      </c>
      <c r="Y2" s="309"/>
      <c r="Z2" s="309"/>
      <c r="AA2" s="309"/>
      <c r="AB2" s="309"/>
      <c r="AC2" s="309"/>
      <c r="AD2" s="309"/>
      <c r="AE2" s="309"/>
      <c r="AF2" s="309"/>
    </row>
    <row r="3" spans="2:32" s="102" customFormat="1" ht="12" x14ac:dyDescent="0.3">
      <c r="B3" s="379"/>
      <c r="C3" s="379"/>
      <c r="D3" s="309" t="s">
        <v>45</v>
      </c>
      <c r="E3" s="309"/>
      <c r="F3" s="309"/>
      <c r="G3" s="309"/>
      <c r="H3" s="309"/>
      <c r="I3" s="309" t="s">
        <v>46</v>
      </c>
      <c r="J3" s="309"/>
      <c r="K3" s="309"/>
      <c r="L3" s="309"/>
      <c r="M3" s="309"/>
      <c r="N3" s="309" t="s">
        <v>47</v>
      </c>
      <c r="O3" s="309"/>
      <c r="P3" s="309"/>
      <c r="Q3" s="309"/>
      <c r="R3" s="309"/>
      <c r="S3" s="309" t="s">
        <v>48</v>
      </c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</row>
    <row r="4" spans="2:32" s="102" customFormat="1" ht="72.75" customHeight="1" x14ac:dyDescent="0.3">
      <c r="B4" s="306"/>
      <c r="C4" s="306"/>
      <c r="D4" s="120" t="s">
        <v>49</v>
      </c>
      <c r="E4" s="120" t="s">
        <v>50</v>
      </c>
      <c r="F4" s="120" t="s">
        <v>51</v>
      </c>
      <c r="G4" s="120" t="s">
        <v>52</v>
      </c>
      <c r="H4" s="120" t="s">
        <v>53</v>
      </c>
      <c r="I4" s="120" t="s">
        <v>49</v>
      </c>
      <c r="J4" s="120" t="s">
        <v>50</v>
      </c>
      <c r="K4" s="120" t="s">
        <v>51</v>
      </c>
      <c r="L4" s="120" t="s">
        <v>52</v>
      </c>
      <c r="M4" s="120" t="s">
        <v>53</v>
      </c>
      <c r="N4" s="120" t="s">
        <v>49</v>
      </c>
      <c r="O4" s="120" t="s">
        <v>50</v>
      </c>
      <c r="P4" s="120" t="s">
        <v>51</v>
      </c>
      <c r="Q4" s="120" t="s">
        <v>52</v>
      </c>
      <c r="R4" s="120" t="s">
        <v>53</v>
      </c>
      <c r="S4" s="120" t="s">
        <v>49</v>
      </c>
      <c r="T4" s="120" t="s">
        <v>50</v>
      </c>
      <c r="U4" s="120" t="s">
        <v>51</v>
      </c>
      <c r="V4" s="120" t="s">
        <v>52</v>
      </c>
      <c r="W4" s="120" t="s">
        <v>53</v>
      </c>
      <c r="X4" s="119" t="s">
        <v>61</v>
      </c>
      <c r="Y4" s="118" t="s">
        <v>54</v>
      </c>
      <c r="Z4" s="118" t="s">
        <v>55</v>
      </c>
      <c r="AA4" s="118" t="s">
        <v>56</v>
      </c>
      <c r="AB4" s="118" t="s">
        <v>57</v>
      </c>
      <c r="AC4" s="118" t="s">
        <v>58</v>
      </c>
      <c r="AD4" s="118" t="s">
        <v>59</v>
      </c>
      <c r="AE4" s="118" t="s">
        <v>46</v>
      </c>
      <c r="AF4" s="118" t="s">
        <v>48</v>
      </c>
    </row>
    <row r="5" spans="2:32" s="102" customFormat="1" ht="12" x14ac:dyDescent="0.3">
      <c r="B5" s="105">
        <v>1</v>
      </c>
      <c r="C5" s="113" t="str">
        <f>[30]Summary!$B$7</f>
        <v>ARC-EM4</v>
      </c>
      <c r="D5" s="105">
        <f>[30]Summary!$D$12</f>
        <v>9</v>
      </c>
      <c r="E5" s="105">
        <f>[30]Summary!$D$13</f>
        <v>13</v>
      </c>
      <c r="F5" s="105">
        <f>[30]Summary!$D$14</f>
        <v>0</v>
      </c>
      <c r="G5" s="105">
        <f>[30]Summary!$D$15</f>
        <v>0</v>
      </c>
      <c r="H5" s="105">
        <f>[30]Summary!$D$16</f>
        <v>0</v>
      </c>
      <c r="I5" s="105">
        <f>[30]Summary!$E$12</f>
        <v>6</v>
      </c>
      <c r="J5" s="105">
        <f>[30]Summary!$E$13</f>
        <v>18</v>
      </c>
      <c r="K5" s="105">
        <f>[30]Summary!$E$14</f>
        <v>1</v>
      </c>
      <c r="L5" s="105">
        <f>[30]Summary!$E$15</f>
        <v>0</v>
      </c>
      <c r="M5" s="105">
        <f>[30]Summary!$E$16</f>
        <v>0</v>
      </c>
      <c r="N5" s="105">
        <f>[30]Summary!$F$12</f>
        <v>2</v>
      </c>
      <c r="O5" s="105">
        <f>[30]Summary!$F$13</f>
        <v>6</v>
      </c>
      <c r="P5" s="105">
        <f>[30]Summary!$F$14</f>
        <v>0</v>
      </c>
      <c r="Q5" s="105">
        <f>[30]Summary!$F$15</f>
        <v>0</v>
      </c>
      <c r="R5" s="105">
        <f>[30]Summary!$F$16</f>
        <v>0</v>
      </c>
      <c r="S5" s="105">
        <f>[30]Summary!$G$12</f>
        <v>5</v>
      </c>
      <c r="T5" s="105">
        <f>[30]Summary!$G$13</f>
        <v>17</v>
      </c>
      <c r="U5" s="105">
        <f>[30]Summary!$G$14</f>
        <v>10</v>
      </c>
      <c r="V5" s="105">
        <f>[30]Summary!$G$15</f>
        <v>0</v>
      </c>
      <c r="W5" s="105">
        <f>[30]Summary!$G$16</f>
        <v>0</v>
      </c>
      <c r="X5" s="105">
        <f>[30]Summary!$D$20</f>
        <v>2</v>
      </c>
      <c r="Y5" s="105">
        <f>[30]Summary!$D$21</f>
        <v>0</v>
      </c>
      <c r="Z5" s="105">
        <f>[30]Summary!$D$22</f>
        <v>3</v>
      </c>
      <c r="AA5" s="105">
        <f>[30]Summary!$D$23</f>
        <v>3</v>
      </c>
      <c r="AB5" s="105">
        <f>[30]Summary!$D$24</f>
        <v>16</v>
      </c>
      <c r="AC5" s="105">
        <f>[30]Summary!$D$25</f>
        <v>2</v>
      </c>
      <c r="AD5" s="105">
        <f>[30]Summary!$D$26</f>
        <v>0</v>
      </c>
      <c r="AE5" s="105">
        <f>[30]Summary!$D$27</f>
        <v>8</v>
      </c>
      <c r="AF5" s="105">
        <f>[30]Summary!$D$28</f>
        <v>9</v>
      </c>
    </row>
    <row r="6" spans="2:32" s="102" customFormat="1" ht="12" x14ac:dyDescent="0.3">
      <c r="B6" s="105">
        <v>2</v>
      </c>
      <c r="C6" s="113" t="str">
        <f>[31]Summary!$B$7</f>
        <v>NFC</v>
      </c>
      <c r="D6" s="105">
        <f>[31]Summary!$D$12</f>
        <v>202</v>
      </c>
      <c r="E6" s="105">
        <f>[31]Summary!$D$13</f>
        <v>54</v>
      </c>
      <c r="F6" s="105">
        <f>[31]Summary!$D$14</f>
        <v>57</v>
      </c>
      <c r="G6" s="105">
        <f>[31]Summary!$D$15</f>
        <v>4</v>
      </c>
      <c r="H6" s="105">
        <f>[31]Summary!$D$16</f>
        <v>0</v>
      </c>
      <c r="I6" s="105">
        <f>[31]Summary!$E$12</f>
        <v>3</v>
      </c>
      <c r="J6" s="105">
        <f>[31]Summary!$E$13</f>
        <v>54</v>
      </c>
      <c r="K6" s="105">
        <f>[31]Summary!$E$14</f>
        <v>54</v>
      </c>
      <c r="L6" s="105">
        <f>[31]Summary!$E$15</f>
        <v>20</v>
      </c>
      <c r="M6" s="105">
        <f>[31]Summary!$E$16</f>
        <v>5</v>
      </c>
      <c r="N6" s="105">
        <f>[31]Summary!$F$12</f>
        <v>1</v>
      </c>
      <c r="O6" s="105">
        <f>[31]Summary!$F$13</f>
        <v>25</v>
      </c>
      <c r="P6" s="105">
        <f>[31]Summary!$F$14</f>
        <v>0</v>
      </c>
      <c r="Q6" s="105">
        <f>[31]Summary!$F$15</f>
        <v>0</v>
      </c>
      <c r="R6" s="105">
        <f>[31]Summary!$F$16</f>
        <v>0</v>
      </c>
      <c r="S6" s="105">
        <f>[31]Summary!$G$12</f>
        <v>0</v>
      </c>
      <c r="T6" s="105">
        <f>[31]Summary!$G$13</f>
        <v>57</v>
      </c>
      <c r="U6" s="105">
        <f>[31]Summary!$G$14</f>
        <v>59</v>
      </c>
      <c r="V6" s="105">
        <f>[31]Summary!$G$15</f>
        <v>9</v>
      </c>
      <c r="W6" s="105">
        <f>[31]Summary!$G$16</f>
        <v>0</v>
      </c>
      <c r="X6" s="105">
        <f>[31]Summary!$D$20</f>
        <v>1</v>
      </c>
      <c r="Y6" s="105">
        <f>[31]Summary!$D$21</f>
        <v>204</v>
      </c>
      <c r="Z6" s="105">
        <f>[31]Summary!$D$22</f>
        <v>0</v>
      </c>
      <c r="AA6" s="105">
        <f>[31]Summary!$D$23</f>
        <v>100</v>
      </c>
      <c r="AB6" s="105">
        <f>[31]Summary!$D$24</f>
        <v>15</v>
      </c>
      <c r="AC6" s="105">
        <f>[31]Summary!$D$25</f>
        <v>5</v>
      </c>
      <c r="AD6" s="105">
        <f>[31]Summary!$D$26</f>
        <v>0</v>
      </c>
      <c r="AE6" s="105">
        <f>[31]Summary!$D$27</f>
        <v>26</v>
      </c>
      <c r="AF6" s="105">
        <f>[31]Summary!$D$28</f>
        <v>0</v>
      </c>
    </row>
    <row r="7" spans="2:32" s="102" customFormat="1" ht="12" x14ac:dyDescent="0.3">
      <c r="B7" s="105">
        <v>3</v>
      </c>
      <c r="C7" s="113" t="str">
        <f>[32]Summary!$B$7</f>
        <v>ECC</v>
      </c>
      <c r="D7" s="105">
        <f>[32]Summary!$D$12</f>
        <v>1</v>
      </c>
      <c r="E7" s="105">
        <f>[32]Summary!$D$13</f>
        <v>50</v>
      </c>
      <c r="F7" s="105">
        <f>[32]Summary!$D$14</f>
        <v>2</v>
      </c>
      <c r="G7" s="105">
        <f>[32]Summary!$D$15</f>
        <v>0</v>
      </c>
      <c r="H7" s="105">
        <f>[32]Summary!$D$16</f>
        <v>0</v>
      </c>
      <c r="I7" s="105">
        <f>[32]Summary!$E$12</f>
        <v>0</v>
      </c>
      <c r="J7" s="105">
        <f>[32]Summary!$E$13</f>
        <v>0</v>
      </c>
      <c r="K7" s="105">
        <f>[32]Summary!$E$14</f>
        <v>2</v>
      </c>
      <c r="L7" s="105">
        <f>[32]Summary!$E$15</f>
        <v>0</v>
      </c>
      <c r="M7" s="105">
        <f>[32]Summary!$E$16</f>
        <v>0</v>
      </c>
      <c r="N7" s="105">
        <f>[32]Summary!$F$12</f>
        <v>0</v>
      </c>
      <c r="O7" s="105">
        <f>[32]Summary!$F$13</f>
        <v>0</v>
      </c>
      <c r="P7" s="105">
        <f>[32]Summary!$F$14</f>
        <v>0</v>
      </c>
      <c r="Q7" s="105">
        <f>[32]Summary!$F$15</f>
        <v>0</v>
      </c>
      <c r="R7" s="105">
        <f>[32]Summary!$F$16</f>
        <v>0</v>
      </c>
      <c r="S7" s="105">
        <f>[32]Summary!$G$12</f>
        <v>0</v>
      </c>
      <c r="T7" s="105">
        <f>[32]Summary!$G$13</f>
        <v>0</v>
      </c>
      <c r="U7" s="105">
        <f>[32]Summary!$G$14</f>
        <v>2</v>
      </c>
      <c r="V7" s="105">
        <f>[32]Summary!$G$15</f>
        <v>0</v>
      </c>
      <c r="W7" s="105">
        <f>[32]Summary!$G$16</f>
        <v>0</v>
      </c>
      <c r="X7" s="105">
        <f>[32]Summary!$D$20</f>
        <v>1</v>
      </c>
      <c r="Y7" s="105">
        <f>[32]Summary!$D$21</f>
        <v>50</v>
      </c>
      <c r="Z7" s="105">
        <f>[32]Summary!$D$22</f>
        <v>0</v>
      </c>
      <c r="AA7" s="105">
        <f>[32]Summary!$D$23</f>
        <v>2</v>
      </c>
      <c r="AB7" s="105">
        <f>[32]Summary!$D$24</f>
        <v>0</v>
      </c>
      <c r="AC7" s="105">
        <f>[32]Summary!$D$25</f>
        <v>0</v>
      </c>
      <c r="AD7" s="105">
        <f>[32]Summary!$D$26</f>
        <v>0</v>
      </c>
      <c r="AE7" s="105">
        <f>[32]Summary!$D$27</f>
        <v>0</v>
      </c>
      <c r="AF7" s="105">
        <f>[32]Summary!$D$28</f>
        <v>0</v>
      </c>
    </row>
    <row r="8" spans="2:32" s="102" customFormat="1" ht="12" x14ac:dyDescent="0.3">
      <c r="B8" s="105">
        <v>4</v>
      </c>
      <c r="C8" s="113" t="str">
        <f>[33]Summary!$B$7</f>
        <v>CDE</v>
      </c>
      <c r="D8" s="105">
        <f>[33]Summary!$D$12</f>
        <v>6</v>
      </c>
      <c r="E8" s="105">
        <f>[33]Summary!$D$13</f>
        <v>7</v>
      </c>
      <c r="F8" s="105">
        <f>[33]Summary!$D$14</f>
        <v>8</v>
      </c>
      <c r="G8" s="105">
        <f>[33]Summary!$D$15</f>
        <v>0</v>
      </c>
      <c r="H8" s="105">
        <f>[33]Summary!$D$16</f>
        <v>0</v>
      </c>
      <c r="I8" s="105">
        <f>[33]Summary!$E$12</f>
        <v>5</v>
      </c>
      <c r="J8" s="105">
        <f>[33]Summary!$E$13</f>
        <v>7</v>
      </c>
      <c r="K8" s="105">
        <f>[33]Summary!$E$14</f>
        <v>13</v>
      </c>
      <c r="L8" s="105">
        <f>[33]Summary!$E$15</f>
        <v>0</v>
      </c>
      <c r="M8" s="105">
        <f>[33]Summary!$E$16</f>
        <v>0</v>
      </c>
      <c r="N8" s="105">
        <f>[33]Summary!$F$12</f>
        <v>0</v>
      </c>
      <c r="O8" s="105">
        <f>[33]Summary!$F$13</f>
        <v>0</v>
      </c>
      <c r="P8" s="105">
        <f>[33]Summary!$F$14</f>
        <v>1</v>
      </c>
      <c r="Q8" s="105">
        <f>[33]Summary!$F$15</f>
        <v>0</v>
      </c>
      <c r="R8" s="105">
        <f>[33]Summary!$F$16</f>
        <v>0</v>
      </c>
      <c r="S8" s="105">
        <f>[33]Summary!$G$12</f>
        <v>3</v>
      </c>
      <c r="T8" s="105">
        <f>[33]Summary!$G$13</f>
        <v>7</v>
      </c>
      <c r="U8" s="105">
        <f>[33]Summary!$G$14</f>
        <v>13</v>
      </c>
      <c r="V8" s="105">
        <f>[33]Summary!$G$15</f>
        <v>0</v>
      </c>
      <c r="W8" s="105">
        <f>[33]Summary!$G$16</f>
        <v>0</v>
      </c>
      <c r="X8" s="105">
        <f>[33]Summary!$D$20</f>
        <v>1</v>
      </c>
      <c r="Y8" s="105">
        <f>[33]Summary!$D$21</f>
        <v>0</v>
      </c>
      <c r="Z8" s="105">
        <f>[33]Summary!$D$22</f>
        <v>0</v>
      </c>
      <c r="AA8" s="105">
        <f>[33]Summary!$D$23</f>
        <v>10</v>
      </c>
      <c r="AB8" s="105">
        <f>[33]Summary!$D$24</f>
        <v>14</v>
      </c>
      <c r="AC8" s="105">
        <f>[33]Summary!$D$25</f>
        <v>1</v>
      </c>
      <c r="AD8" s="105">
        <f>[33]Summary!$D$26</f>
        <v>0</v>
      </c>
      <c r="AE8" s="105">
        <f>[33]Summary!$D$27</f>
        <v>0</v>
      </c>
      <c r="AF8" s="105">
        <f>[33]Summary!$D$28</f>
        <v>0</v>
      </c>
    </row>
    <row r="9" spans="2:32" s="102" customFormat="1" ht="12" x14ac:dyDescent="0.3">
      <c r="B9" s="105">
        <v>5</v>
      </c>
      <c r="C9" s="113" t="str">
        <f>[34]Summary!$B$7</f>
        <v>Boost Engine</v>
      </c>
      <c r="D9" s="105">
        <f>[34]Summary!$D$12</f>
        <v>4</v>
      </c>
      <c r="E9" s="105">
        <f>[34]Summary!$D$13</f>
        <v>6</v>
      </c>
      <c r="F9" s="105">
        <f>[34]Summary!$D$14</f>
        <v>0</v>
      </c>
      <c r="G9" s="105">
        <f>[34]Summary!$D$15</f>
        <v>0</v>
      </c>
      <c r="H9" s="105">
        <f>[34]Summary!$D$16</f>
        <v>0</v>
      </c>
      <c r="I9" s="105">
        <f>[34]Summary!$E$12</f>
        <v>3</v>
      </c>
      <c r="J9" s="105">
        <f>[34]Summary!$E$13</f>
        <v>3</v>
      </c>
      <c r="K9" s="105">
        <f>[34]Summary!$E$14</f>
        <v>0</v>
      </c>
      <c r="L9" s="105">
        <f>[34]Summary!$E$15</f>
        <v>0</v>
      </c>
      <c r="M9" s="105">
        <f>[34]Summary!$E$16</f>
        <v>0</v>
      </c>
      <c r="N9" s="105">
        <f>[34]Summary!$F$12</f>
        <v>0</v>
      </c>
      <c r="O9" s="105">
        <f>[34]Summary!$F$13</f>
        <v>0</v>
      </c>
      <c r="P9" s="105">
        <f>[34]Summary!$F$14</f>
        <v>0</v>
      </c>
      <c r="Q9" s="105">
        <f>[34]Summary!$F$15</f>
        <v>0</v>
      </c>
      <c r="R9" s="105">
        <f>[34]Summary!$F$16</f>
        <v>0</v>
      </c>
      <c r="S9" s="105">
        <f>[34]Summary!$G$12</f>
        <v>0</v>
      </c>
      <c r="T9" s="105">
        <f>[34]Summary!$G$13</f>
        <v>2</v>
      </c>
      <c r="U9" s="105">
        <f>[34]Summary!$G$14</f>
        <v>0</v>
      </c>
      <c r="V9" s="105">
        <f>[34]Summary!$G$15</f>
        <v>0</v>
      </c>
      <c r="W9" s="105">
        <f>[34]Summary!$G$16</f>
        <v>0</v>
      </c>
      <c r="X9" s="105">
        <f>[34]Summary!$D$20</f>
        <v>1</v>
      </c>
      <c r="Y9" s="105">
        <f>[34]Summary!$D$21</f>
        <v>0</v>
      </c>
      <c r="Z9" s="105">
        <f>[34]Summary!$D$22</f>
        <v>2</v>
      </c>
      <c r="AA9" s="105">
        <f>[34]Summary!$D$23</f>
        <v>2</v>
      </c>
      <c r="AB9" s="105">
        <f>[34]Summary!$D$24</f>
        <v>4</v>
      </c>
      <c r="AC9" s="105">
        <f>[34]Summary!$D$25</f>
        <v>1</v>
      </c>
      <c r="AD9" s="105">
        <f>[34]Summary!$D$26</f>
        <v>0</v>
      </c>
      <c r="AE9" s="105">
        <f>[34]Summary!$D$27</f>
        <v>0</v>
      </c>
      <c r="AF9" s="105">
        <f>[34]Summary!$D$28</f>
        <v>0</v>
      </c>
    </row>
    <row r="10" spans="2:32" s="102" customFormat="1" ht="12" x14ac:dyDescent="0.3">
      <c r="B10" s="105">
        <v>6</v>
      </c>
      <c r="C10" s="113" t="str">
        <f>[35]Summary!$B$7</f>
        <v>UFS</v>
      </c>
      <c r="D10" s="105">
        <f>[35]Summary!$D$12</f>
        <v>194</v>
      </c>
      <c r="E10" s="105">
        <f>[35]Summary!$D$13</f>
        <v>56</v>
      </c>
      <c r="F10" s="105">
        <f>[35]Summary!$D$14</f>
        <v>0</v>
      </c>
      <c r="G10" s="105">
        <f>[35]Summary!$D$15</f>
        <v>7</v>
      </c>
      <c r="H10" s="105">
        <f>[35]Summary!$D$16</f>
        <v>0</v>
      </c>
      <c r="I10" s="105">
        <f>[35]Summary!$E$12</f>
        <v>14</v>
      </c>
      <c r="J10" s="105">
        <f>[35]Summary!$E$13</f>
        <v>0</v>
      </c>
      <c r="K10" s="105">
        <f>[35]Summary!$E$14</f>
        <v>27</v>
      </c>
      <c r="L10" s="105">
        <f>[35]Summary!$E$15</f>
        <v>0</v>
      </c>
      <c r="M10" s="105">
        <f>[35]Summary!$E$16</f>
        <v>0</v>
      </c>
      <c r="N10" s="105">
        <f>[35]Summary!$F$12</f>
        <v>0</v>
      </c>
      <c r="O10" s="105">
        <f>[35]Summary!$F$13</f>
        <v>4</v>
      </c>
      <c r="P10" s="105">
        <f>[35]Summary!$F$14</f>
        <v>0</v>
      </c>
      <c r="Q10" s="105">
        <f>[35]Summary!$F$15</f>
        <v>0</v>
      </c>
      <c r="R10" s="105">
        <f>[35]Summary!$F$16</f>
        <v>0</v>
      </c>
      <c r="S10" s="105">
        <f>[35]Summary!$G$12</f>
        <v>0</v>
      </c>
      <c r="T10" s="105">
        <f>[35]Summary!$G$13</f>
        <v>0</v>
      </c>
      <c r="U10" s="105">
        <f>[35]Summary!$G$14</f>
        <v>0</v>
      </c>
      <c r="V10" s="105">
        <f>[35]Summary!$G$15</f>
        <v>0</v>
      </c>
      <c r="W10" s="105">
        <f>[35]Summary!$G$16</f>
        <v>0</v>
      </c>
      <c r="X10" s="105">
        <f>[35]Summary!$D$20</f>
        <v>1</v>
      </c>
      <c r="Y10" s="105">
        <f>[35]Summary!$D$21</f>
        <v>0</v>
      </c>
      <c r="Z10" s="105">
        <f>[35]Summary!$D$22</f>
        <v>193</v>
      </c>
      <c r="AA10" s="105">
        <f>[35]Summary!$D$23</f>
        <v>1</v>
      </c>
      <c r="AB10" s="105">
        <f>[35]Summary!$D$24</f>
        <v>75</v>
      </c>
      <c r="AC10" s="105">
        <f>[35]Summary!$D$25</f>
        <v>5</v>
      </c>
      <c r="AD10" s="105">
        <f>[35]Summary!$D$26</f>
        <v>0</v>
      </c>
      <c r="AE10" s="105">
        <f>[35]Summary!$D$27</f>
        <v>42</v>
      </c>
      <c r="AF10" s="105">
        <f>[35]Summary!$D$28</f>
        <v>0</v>
      </c>
    </row>
    <row r="11" spans="2:32" s="102" customFormat="1" ht="12" x14ac:dyDescent="0.3">
      <c r="B11" s="105">
        <v>7</v>
      </c>
      <c r="C11" s="113" t="str">
        <f>[36]Summary!$B$7</f>
        <v>AES-UFS</v>
      </c>
      <c r="D11" s="105">
        <f>[36]Summary!$D$12</f>
        <v>4</v>
      </c>
      <c r="E11" s="105">
        <f>[36]Summary!$D$13</f>
        <v>19</v>
      </c>
      <c r="F11" s="105">
        <f>[36]Summary!$D$14</f>
        <v>12</v>
      </c>
      <c r="G11" s="105">
        <f>[36]Summary!$D$15</f>
        <v>0</v>
      </c>
      <c r="H11" s="105">
        <f>[36]Summary!$D$16</f>
        <v>0</v>
      </c>
      <c r="I11" s="105">
        <f>[36]Summary!$E$12</f>
        <v>3</v>
      </c>
      <c r="J11" s="105">
        <f>[36]Summary!$E$13</f>
        <v>13</v>
      </c>
      <c r="K11" s="105">
        <f>[36]Summary!$E$14</f>
        <v>7</v>
      </c>
      <c r="L11" s="105">
        <f>[36]Summary!$E$15</f>
        <v>1</v>
      </c>
      <c r="M11" s="105">
        <f>[36]Summary!$E$16</f>
        <v>61</v>
      </c>
      <c r="N11" s="105">
        <f>[36]Summary!$F$12</f>
        <v>0</v>
      </c>
      <c r="O11" s="105">
        <f>[36]Summary!$F$13</f>
        <v>0</v>
      </c>
      <c r="P11" s="105">
        <f>[36]Summary!$F$14</f>
        <v>0</v>
      </c>
      <c r="Q11" s="105">
        <f>[36]Summary!$F$15</f>
        <v>0</v>
      </c>
      <c r="R11" s="105">
        <f>[36]Summary!$F$16</f>
        <v>0</v>
      </c>
      <c r="S11" s="105">
        <f>[36]Summary!$G$12</f>
        <v>0</v>
      </c>
      <c r="T11" s="105">
        <f>[36]Summary!$G$13</f>
        <v>0</v>
      </c>
      <c r="U11" s="105">
        <f>[36]Summary!$G$14</f>
        <v>0</v>
      </c>
      <c r="V11" s="105">
        <f>[36]Summary!$G$15</f>
        <v>0</v>
      </c>
      <c r="W11" s="105">
        <f>[36]Summary!$G$16</f>
        <v>0</v>
      </c>
      <c r="X11" s="105">
        <f>[36]Summary!$D$20</f>
        <v>1</v>
      </c>
      <c r="Y11" s="105">
        <f>[36]Summary!$D$21</f>
        <v>0</v>
      </c>
      <c r="Z11" s="105">
        <f>[36]Summary!$D$22</f>
        <v>3</v>
      </c>
      <c r="AA11" s="105">
        <f>[36]Summary!$D$23</f>
        <v>17</v>
      </c>
      <c r="AB11" s="105">
        <f>[36]Summary!$D$24</f>
        <v>12</v>
      </c>
      <c r="AC11" s="105">
        <f>[36]Summary!$D$25</f>
        <v>1</v>
      </c>
      <c r="AD11" s="105">
        <f>[36]Summary!$D$26</f>
        <v>0</v>
      </c>
      <c r="AE11" s="105">
        <f>[36]Summary!$D$27</f>
        <v>65</v>
      </c>
      <c r="AF11" s="105">
        <f>[36]Summary!$D$28</f>
        <v>0</v>
      </c>
    </row>
    <row r="12" spans="2:32" s="102" customFormat="1" ht="12" x14ac:dyDescent="0.3">
      <c r="B12" s="105">
        <v>8</v>
      </c>
      <c r="C12" s="113" t="str">
        <f>[37]Summary!$B$7</f>
        <v>AES-LB</v>
      </c>
      <c r="D12" s="105">
        <f>[37]Summary!$D$12</f>
        <v>4</v>
      </c>
      <c r="E12" s="105">
        <f>[37]Summary!$D$13</f>
        <v>21</v>
      </c>
      <c r="F12" s="105">
        <f>[37]Summary!$D$14</f>
        <v>8</v>
      </c>
      <c r="G12" s="105">
        <f>[37]Summary!$D$15</f>
        <v>5</v>
      </c>
      <c r="H12" s="105">
        <f>[37]Summary!$D$16</f>
        <v>0</v>
      </c>
      <c r="I12" s="105">
        <f>[37]Summary!$E$12</f>
        <v>3</v>
      </c>
      <c r="J12" s="105">
        <f>[37]Summary!$E$13</f>
        <v>14</v>
      </c>
      <c r="K12" s="105">
        <f>[37]Summary!$E$14</f>
        <v>8</v>
      </c>
      <c r="L12" s="105">
        <f>[37]Summary!$E$15</f>
        <v>5</v>
      </c>
      <c r="M12" s="105">
        <f>[37]Summary!$E$16</f>
        <v>0</v>
      </c>
      <c r="N12" s="105">
        <f>[37]Summary!$F$12</f>
        <v>0</v>
      </c>
      <c r="O12" s="105">
        <f>[37]Summary!$F$13</f>
        <v>0</v>
      </c>
      <c r="P12" s="105">
        <f>[37]Summary!$F$14</f>
        <v>0</v>
      </c>
      <c r="Q12" s="105">
        <f>[37]Summary!$F$15</f>
        <v>0</v>
      </c>
      <c r="R12" s="105">
        <f>[37]Summary!$F$16</f>
        <v>0</v>
      </c>
      <c r="S12" s="105">
        <f>[37]Summary!$G$12</f>
        <v>0</v>
      </c>
      <c r="T12" s="105">
        <f>[37]Summary!$G$13</f>
        <v>0</v>
      </c>
      <c r="U12" s="105">
        <f>[37]Summary!$G$14</f>
        <v>0</v>
      </c>
      <c r="V12" s="105">
        <f>[37]Summary!$G$15</f>
        <v>0</v>
      </c>
      <c r="W12" s="105">
        <f>[37]Summary!$G$16</f>
        <v>0</v>
      </c>
      <c r="X12" s="105">
        <f>[37]Summary!$D$20</f>
        <v>1</v>
      </c>
      <c r="Y12" s="105">
        <f>[37]Summary!$D$21</f>
        <v>0</v>
      </c>
      <c r="Z12" s="105">
        <f>[37]Summary!$D$22</f>
        <v>7</v>
      </c>
      <c r="AA12" s="105">
        <f>[37]Summary!$D$23</f>
        <v>22</v>
      </c>
      <c r="AB12" s="105">
        <f>[37]Summary!$D$24</f>
        <v>2</v>
      </c>
      <c r="AC12" s="105">
        <f>[37]Summary!$D$25</f>
        <v>1</v>
      </c>
      <c r="AD12" s="105">
        <f>[37]Summary!$D$26</f>
        <v>0</v>
      </c>
      <c r="AE12" s="105">
        <f>[37]Summary!$D$27</f>
        <v>5</v>
      </c>
      <c r="AF12" s="105">
        <f>[37]Summary!$D$28</f>
        <v>0</v>
      </c>
    </row>
    <row r="13" spans="2:32" s="102" customFormat="1" ht="12" x14ac:dyDescent="0.3">
      <c r="B13" s="105">
        <v>9</v>
      </c>
      <c r="C13" s="113" t="str">
        <f>[38]Summary!$B$7</f>
        <v>MACC</v>
      </c>
      <c r="D13" s="105">
        <f>[38]Summary!$D$12</f>
        <v>5</v>
      </c>
      <c r="E13" s="105">
        <f>[38]Summary!$D$13</f>
        <v>5</v>
      </c>
      <c r="F13" s="105">
        <f>[38]Summary!$D$14</f>
        <v>28</v>
      </c>
      <c r="G13" s="105">
        <f>[38]Summary!$D$15</f>
        <v>1</v>
      </c>
      <c r="H13" s="105">
        <f>[38]Summary!$D$16</f>
        <v>0</v>
      </c>
      <c r="I13" s="105">
        <f>[38]Summary!$E$12</f>
        <v>3</v>
      </c>
      <c r="J13" s="105">
        <f>[38]Summary!$E$13</f>
        <v>5</v>
      </c>
      <c r="K13" s="105">
        <f>[38]Summary!$E$14</f>
        <v>17</v>
      </c>
      <c r="L13" s="105">
        <f>[38]Summary!$E$15</f>
        <v>0</v>
      </c>
      <c r="M13" s="105">
        <f>[38]Summary!$E$16</f>
        <v>0</v>
      </c>
      <c r="N13" s="105">
        <f>[38]Summary!$F$12</f>
        <v>0</v>
      </c>
      <c r="O13" s="105">
        <f>[38]Summary!$F$13</f>
        <v>0</v>
      </c>
      <c r="P13" s="105">
        <f>[38]Summary!$F$14</f>
        <v>2</v>
      </c>
      <c r="Q13" s="105">
        <f>[38]Summary!$F$15</f>
        <v>0</v>
      </c>
      <c r="R13" s="105">
        <f>[38]Summary!$F$16</f>
        <v>0</v>
      </c>
      <c r="S13" s="105">
        <f>[38]Summary!$G$12</f>
        <v>3</v>
      </c>
      <c r="T13" s="105">
        <f>[38]Summary!$G$13</f>
        <v>5</v>
      </c>
      <c r="U13" s="105">
        <f>[38]Summary!$G$14</f>
        <v>17</v>
      </c>
      <c r="V13" s="105">
        <f>[38]Summary!$G$15</f>
        <v>0</v>
      </c>
      <c r="W13" s="105">
        <f>[38]Summary!$G$16</f>
        <v>0</v>
      </c>
      <c r="X13" s="105">
        <f>[38]Summary!$D$20</f>
        <v>1</v>
      </c>
      <c r="Y13" s="105">
        <f>[38]Summary!$D$21</f>
        <v>0</v>
      </c>
      <c r="Z13" s="105">
        <f>[38]Summary!$D$22</f>
        <v>0</v>
      </c>
      <c r="AA13" s="105">
        <f>[38]Summary!$D$23</f>
        <v>18</v>
      </c>
      <c r="AB13" s="105">
        <f>[38]Summary!$D$24</f>
        <v>18</v>
      </c>
      <c r="AC13" s="105">
        <f>[38]Summary!$D$25</f>
        <v>2</v>
      </c>
      <c r="AD13" s="105">
        <f>[38]Summary!$D$26</f>
        <v>0</v>
      </c>
      <c r="AE13" s="105">
        <f>[38]Summary!$D$27</f>
        <v>0</v>
      </c>
      <c r="AF13" s="105">
        <f>[38]Summary!$D$28</f>
        <v>0</v>
      </c>
    </row>
    <row r="14" spans="2:32" s="102" customFormat="1" ht="12" x14ac:dyDescent="0.3">
      <c r="B14" s="105">
        <v>10</v>
      </c>
      <c r="C14" s="113" t="str">
        <f>[39]Summary!$B$7</f>
        <v>Backbone</v>
      </c>
      <c r="D14" s="105">
        <f>[39]Summary!$D$12</f>
        <v>3</v>
      </c>
      <c r="E14" s="105">
        <f>[39]Summary!$D$13</f>
        <v>0</v>
      </c>
      <c r="F14" s="105">
        <f>[39]Summary!$D$14</f>
        <v>2</v>
      </c>
      <c r="G14" s="105">
        <f>[39]Summary!$D$15</f>
        <v>0</v>
      </c>
      <c r="H14" s="105">
        <f>[39]Summary!$D$16</f>
        <v>0</v>
      </c>
      <c r="I14" s="105">
        <f>[39]Summary!$E$12</f>
        <v>0</v>
      </c>
      <c r="J14" s="105">
        <f>[39]Summary!$E$13</f>
        <v>0</v>
      </c>
      <c r="K14" s="105">
        <f>[39]Summary!$E$14</f>
        <v>0</v>
      </c>
      <c r="L14" s="105">
        <f>[39]Summary!$E$15</f>
        <v>0</v>
      </c>
      <c r="M14" s="105">
        <f>[39]Summary!$E$16</f>
        <v>0</v>
      </c>
      <c r="N14" s="105">
        <f>[39]Summary!$F$12</f>
        <v>0</v>
      </c>
      <c r="O14" s="105">
        <f>[39]Summary!$F$13</f>
        <v>0</v>
      </c>
      <c r="P14" s="105">
        <f>[39]Summary!$F$14</f>
        <v>0</v>
      </c>
      <c r="Q14" s="105">
        <f>[39]Summary!$F$15</f>
        <v>0</v>
      </c>
      <c r="R14" s="105">
        <f>[39]Summary!$F$16</f>
        <v>0</v>
      </c>
      <c r="S14" s="105">
        <f>[39]Summary!$G$12</f>
        <v>0</v>
      </c>
      <c r="T14" s="105">
        <f>[39]Summary!$G$13</f>
        <v>0</v>
      </c>
      <c r="U14" s="105">
        <f>[39]Summary!$G$14</f>
        <v>0</v>
      </c>
      <c r="V14" s="105">
        <f>[39]Summary!$G$15</f>
        <v>0</v>
      </c>
      <c r="W14" s="105">
        <f>[39]Summary!$G$16</f>
        <v>0</v>
      </c>
      <c r="X14" s="105">
        <f>[39]Summary!$D$20</f>
        <v>1</v>
      </c>
      <c r="Y14" s="105">
        <f>[39]Summary!$D$21</f>
        <v>0</v>
      </c>
      <c r="Z14" s="105">
        <f>[39]Summary!$D$22</f>
        <v>3</v>
      </c>
      <c r="AA14" s="105">
        <f>[39]Summary!$D$23</f>
        <v>1</v>
      </c>
      <c r="AB14" s="105">
        <f>[39]Summary!$D$24</f>
        <v>0</v>
      </c>
      <c r="AC14" s="105">
        <f>[39]Summary!$D$25</f>
        <v>0</v>
      </c>
      <c r="AD14" s="105">
        <f>[39]Summary!$D$26</f>
        <v>0</v>
      </c>
      <c r="AE14" s="105">
        <f>[39]Summary!$D$27</f>
        <v>0</v>
      </c>
      <c r="AF14" s="105">
        <f>[39]Summary!$D$28</f>
        <v>0</v>
      </c>
    </row>
    <row r="15" spans="2:32" s="102" customFormat="1" ht="12" x14ac:dyDescent="0.3">
      <c r="B15" s="105">
        <v>11</v>
      </c>
      <c r="C15" s="113" t="str">
        <f>[40]Summary!$B$7</f>
        <v>Buffer Manager</v>
      </c>
      <c r="D15" s="105">
        <f>[40]Summary!$D$12</f>
        <v>4</v>
      </c>
      <c r="E15" s="105">
        <f>[40]Summary!$D$13</f>
        <v>27</v>
      </c>
      <c r="F15" s="105">
        <f>[40]Summary!$D$14</f>
        <v>26</v>
      </c>
      <c r="G15" s="105">
        <f>[40]Summary!$D$15</f>
        <v>0</v>
      </c>
      <c r="H15" s="105">
        <f>[40]Summary!$D$16</f>
        <v>0</v>
      </c>
      <c r="I15" s="105">
        <f>[40]Summary!$E$12</f>
        <v>3</v>
      </c>
      <c r="J15" s="105">
        <f>[40]Summary!$E$13</f>
        <v>7</v>
      </c>
      <c r="K15" s="105">
        <f>[40]Summary!$E$14</f>
        <v>19</v>
      </c>
      <c r="L15" s="105">
        <f>[40]Summary!$E$15</f>
        <v>0</v>
      </c>
      <c r="M15" s="105">
        <f>[40]Summary!$E$16</f>
        <v>0</v>
      </c>
      <c r="N15" s="105">
        <f>[40]Summary!$F$12</f>
        <v>0</v>
      </c>
      <c r="O15" s="105">
        <f>[40]Summary!$F$13</f>
        <v>1</v>
      </c>
      <c r="P15" s="105">
        <f>[40]Summary!$F$14</f>
        <v>0</v>
      </c>
      <c r="Q15" s="105">
        <f>[40]Summary!$F$15</f>
        <v>0</v>
      </c>
      <c r="R15" s="105">
        <f>[40]Summary!$F$16</f>
        <v>0</v>
      </c>
      <c r="S15" s="105">
        <f>[40]Summary!$G$12</f>
        <v>3</v>
      </c>
      <c r="T15" s="105">
        <f>[40]Summary!$G$13</f>
        <v>4</v>
      </c>
      <c r="U15" s="105">
        <f>[40]Summary!$G$14</f>
        <v>5</v>
      </c>
      <c r="V15" s="105">
        <f>[40]Summary!$G$15</f>
        <v>0</v>
      </c>
      <c r="W15" s="105">
        <f>[40]Summary!$G$16</f>
        <v>0</v>
      </c>
      <c r="X15" s="105">
        <f>[40]Summary!$D$20</f>
        <v>1</v>
      </c>
      <c r="Y15" s="105">
        <f>[40]Summary!$D$21</f>
        <v>0</v>
      </c>
      <c r="Z15" s="105">
        <f>[40]Summary!$D$22</f>
        <v>27</v>
      </c>
      <c r="AA15" s="105">
        <f>[40]Summary!$D$23</f>
        <v>7</v>
      </c>
      <c r="AB15" s="105">
        <f>[40]Summary!$D$24</f>
        <v>16</v>
      </c>
      <c r="AC15" s="105">
        <f>[40]Summary!$D$25</f>
        <v>3</v>
      </c>
      <c r="AD15" s="105">
        <f>[40]Summary!$D$26</f>
        <v>4</v>
      </c>
      <c r="AE15" s="105">
        <f>[40]Summary!$D$27</f>
        <v>0</v>
      </c>
      <c r="AF15" s="105">
        <f>[40]Summary!$D$28</f>
        <v>0</v>
      </c>
    </row>
    <row r="16" spans="2:32" s="102" customFormat="1" ht="12" x14ac:dyDescent="0.3">
      <c r="B16" s="105">
        <v>12</v>
      </c>
      <c r="C16" s="113" t="str">
        <f>[41]Summary!$B$7</f>
        <v>System Memory</v>
      </c>
      <c r="D16" s="105">
        <f>[41]Summary!$D$12</f>
        <v>2</v>
      </c>
      <c r="E16" s="105">
        <f>[41]Summary!$D$13</f>
        <v>39</v>
      </c>
      <c r="F16" s="105">
        <f>[41]Summary!$D$14</f>
        <v>0</v>
      </c>
      <c r="G16" s="105">
        <f>[41]Summary!$D$15</f>
        <v>0</v>
      </c>
      <c r="H16" s="105">
        <f>[41]Summary!$D$16</f>
        <v>0</v>
      </c>
      <c r="I16" s="105">
        <f>[41]Summary!$E$12</f>
        <v>0</v>
      </c>
      <c r="J16" s="105">
        <f>[41]Summary!$E$13</f>
        <v>3</v>
      </c>
      <c r="K16" s="105">
        <f>[41]Summary!$E$14</f>
        <v>0</v>
      </c>
      <c r="L16" s="105">
        <f>[41]Summary!$E$15</f>
        <v>0</v>
      </c>
      <c r="M16" s="105">
        <f>[41]Summary!$E$16</f>
        <v>0</v>
      </c>
      <c r="N16" s="105">
        <f>[41]Summary!$F$12</f>
        <v>0</v>
      </c>
      <c r="O16" s="105">
        <f>[41]Summary!$F$13</f>
        <v>3</v>
      </c>
      <c r="P16" s="105">
        <f>[41]Summary!$F$14</f>
        <v>0</v>
      </c>
      <c r="Q16" s="105">
        <f>[41]Summary!$F$15</f>
        <v>0</v>
      </c>
      <c r="R16" s="105">
        <f>[41]Summary!$F$16</f>
        <v>0</v>
      </c>
      <c r="S16" s="105">
        <f>[41]Summary!$G$12</f>
        <v>0</v>
      </c>
      <c r="T16" s="105">
        <f>[41]Summary!$G$13</f>
        <v>3</v>
      </c>
      <c r="U16" s="105">
        <f>[41]Summary!$G$14</f>
        <v>0</v>
      </c>
      <c r="V16" s="105">
        <f>[41]Summary!$G$15</f>
        <v>0</v>
      </c>
      <c r="W16" s="105">
        <f>[41]Summary!$G$16</f>
        <v>0</v>
      </c>
      <c r="X16" s="105">
        <f>[41]Summary!$D$20</f>
        <v>2</v>
      </c>
      <c r="Y16" s="105">
        <f>[41]Summary!$D$21</f>
        <v>0</v>
      </c>
      <c r="Z16" s="105">
        <f>[41]Summary!$D$22</f>
        <v>40</v>
      </c>
      <c r="AA16" s="105">
        <f>[41]Summary!$D$23</f>
        <v>0</v>
      </c>
      <c r="AB16" s="105">
        <f>[41]Summary!$D$24</f>
        <v>0</v>
      </c>
      <c r="AC16" s="105">
        <f>[41]Summary!$D$25</f>
        <v>0</v>
      </c>
      <c r="AD16" s="105">
        <f>[41]Summary!$D$26</f>
        <v>0</v>
      </c>
      <c r="AE16" s="105">
        <f>[41]Summary!$D$27</f>
        <v>0</v>
      </c>
      <c r="AF16" s="105">
        <f>[41]Summary!$D$28</f>
        <v>0</v>
      </c>
    </row>
    <row r="17" spans="2:32" s="102" customFormat="1" ht="12" x14ac:dyDescent="0.3">
      <c r="B17" s="105">
        <v>13</v>
      </c>
      <c r="C17" s="113" t="str">
        <f>[42]Summary!$B$7</f>
        <v>Data Buffer</v>
      </c>
      <c r="D17" s="105">
        <f>[42]Summary!$D$12</f>
        <v>2</v>
      </c>
      <c r="E17" s="105">
        <f>[42]Summary!$D$13</f>
        <v>40</v>
      </c>
      <c r="F17" s="105">
        <f>[42]Summary!$D$14</f>
        <v>0</v>
      </c>
      <c r="G17" s="105">
        <f>[42]Summary!$D$15</f>
        <v>0</v>
      </c>
      <c r="H17" s="105">
        <f>[42]Summary!$D$16</f>
        <v>0</v>
      </c>
      <c r="I17" s="105">
        <f>[42]Summary!$E$12</f>
        <v>0</v>
      </c>
      <c r="J17" s="105">
        <f>[42]Summary!$E$13</f>
        <v>3</v>
      </c>
      <c r="K17" s="105">
        <f>[42]Summary!$E$14</f>
        <v>0</v>
      </c>
      <c r="L17" s="105">
        <f>[42]Summary!$E$15</f>
        <v>0</v>
      </c>
      <c r="M17" s="105">
        <f>[42]Summary!$E$16</f>
        <v>0</v>
      </c>
      <c r="N17" s="105">
        <f>[42]Summary!$F$12</f>
        <v>0</v>
      </c>
      <c r="O17" s="105">
        <f>[42]Summary!$F$13</f>
        <v>3</v>
      </c>
      <c r="P17" s="105">
        <f>[42]Summary!$F$14</f>
        <v>0</v>
      </c>
      <c r="Q17" s="105">
        <f>[42]Summary!$F$15</f>
        <v>0</v>
      </c>
      <c r="R17" s="105">
        <f>[42]Summary!$F$16</f>
        <v>0</v>
      </c>
      <c r="S17" s="105">
        <f>[42]Summary!$G$12</f>
        <v>0</v>
      </c>
      <c r="T17" s="105">
        <f>[42]Summary!$G$13</f>
        <v>3</v>
      </c>
      <c r="U17" s="105">
        <f>[42]Summary!$G$14</f>
        <v>0</v>
      </c>
      <c r="V17" s="105">
        <f>[42]Summary!$G$15</f>
        <v>0</v>
      </c>
      <c r="W17" s="105">
        <f>[42]Summary!$G$16</f>
        <v>0</v>
      </c>
      <c r="X17" s="105">
        <f>[42]Summary!$D$20</f>
        <v>2</v>
      </c>
      <c r="Y17" s="105">
        <f>[42]Summary!$D$21</f>
        <v>0</v>
      </c>
      <c r="Z17" s="105">
        <f>[42]Summary!$D$22</f>
        <v>41</v>
      </c>
      <c r="AA17" s="105">
        <f>[42]Summary!$D$23</f>
        <v>0</v>
      </c>
      <c r="AB17" s="105">
        <f>[42]Summary!$D$24</f>
        <v>0</v>
      </c>
      <c r="AC17" s="105">
        <f>[42]Summary!$D$25</f>
        <v>0</v>
      </c>
      <c r="AD17" s="105">
        <f>[42]Summary!$D$26</f>
        <v>0</v>
      </c>
      <c r="AE17" s="105">
        <f>[42]Summary!$D$27</f>
        <v>0</v>
      </c>
      <c r="AF17" s="105">
        <f>[42]Summary!$D$28</f>
        <v>0</v>
      </c>
    </row>
    <row r="18" spans="2:32" s="102" customFormat="1" ht="12" x14ac:dyDescent="0.3">
      <c r="B18" s="105">
        <v>14</v>
      </c>
      <c r="C18" s="113" t="str">
        <f>[43]Summary!$B$7</f>
        <v>AMP</v>
      </c>
      <c r="D18" s="105">
        <f>[43]Summary!$D$12</f>
        <v>4</v>
      </c>
      <c r="E18" s="105">
        <f>[43]Summary!$D$13</f>
        <v>88</v>
      </c>
      <c r="F18" s="105">
        <f>[43]Summary!$D$14</f>
        <v>7</v>
      </c>
      <c r="G18" s="105">
        <f>[43]Summary!$D$15</f>
        <v>0</v>
      </c>
      <c r="H18" s="105">
        <f>[43]Summary!$D$16</f>
        <v>0</v>
      </c>
      <c r="I18" s="105">
        <f>[43]Summary!$E$12</f>
        <v>3</v>
      </c>
      <c r="J18" s="105">
        <f>[43]Summary!$E$13</f>
        <v>58</v>
      </c>
      <c r="K18" s="105">
        <f>[43]Summary!$E$14</f>
        <v>7</v>
      </c>
      <c r="L18" s="105">
        <f>[43]Summary!$E$15</f>
        <v>0</v>
      </c>
      <c r="M18" s="105">
        <f>[43]Summary!$E$16</f>
        <v>0</v>
      </c>
      <c r="N18" s="105">
        <f>[43]Summary!$F$12</f>
        <v>0</v>
      </c>
      <c r="O18" s="105">
        <f>[43]Summary!$F$13</f>
        <v>6</v>
      </c>
      <c r="P18" s="105">
        <f>[43]Summary!$F$14</f>
        <v>0</v>
      </c>
      <c r="Q18" s="105">
        <f>[43]Summary!$F$15</f>
        <v>0</v>
      </c>
      <c r="R18" s="105">
        <f>[43]Summary!$F$16</f>
        <v>0</v>
      </c>
      <c r="S18" s="105">
        <f>[43]Summary!$G$12</f>
        <v>0</v>
      </c>
      <c r="T18" s="105">
        <f>[43]Summary!$G$13</f>
        <v>0</v>
      </c>
      <c r="U18" s="105">
        <f>[43]Summary!$G$14</f>
        <v>1</v>
      </c>
      <c r="V18" s="105">
        <f>[43]Summary!$G$15</f>
        <v>0</v>
      </c>
      <c r="W18" s="105">
        <f>[43]Summary!$G$16</f>
        <v>0</v>
      </c>
      <c r="X18" s="105">
        <f>[43]Summary!$D$20</f>
        <v>1</v>
      </c>
      <c r="Y18" s="105">
        <f>[43]Summary!$D$21</f>
        <v>0</v>
      </c>
      <c r="Z18" s="105">
        <f>[43]Summary!$D$22</f>
        <v>42</v>
      </c>
      <c r="AA18" s="105">
        <f>[43]Summary!$D$23</f>
        <v>35</v>
      </c>
      <c r="AB18" s="105">
        <f>[43]Summary!$D$24</f>
        <v>13</v>
      </c>
      <c r="AC18" s="105">
        <f>[43]Summary!$D$25</f>
        <v>8</v>
      </c>
      <c r="AD18" s="105">
        <f>[43]Summary!$D$26</f>
        <v>0</v>
      </c>
      <c r="AE18" s="105">
        <f>[43]Summary!$D$27</f>
        <v>0</v>
      </c>
      <c r="AF18" s="105">
        <f>[43]Summary!$D$28</f>
        <v>0</v>
      </c>
    </row>
    <row r="19" spans="2:32" s="102" customFormat="1" ht="12" x14ac:dyDescent="0.3">
      <c r="B19" s="105">
        <v>15</v>
      </c>
      <c r="C19" s="113" t="str">
        <f>[44]Summary!$B$7</f>
        <v>MTSE</v>
      </c>
      <c r="D19" s="105">
        <f>[44]Summary!$D$12</f>
        <v>4</v>
      </c>
      <c r="E19" s="105">
        <f>[44]Summary!$D$13</f>
        <v>35</v>
      </c>
      <c r="F19" s="105">
        <f>[44]Summary!$D$14</f>
        <v>1</v>
      </c>
      <c r="G19" s="105">
        <f>[44]Summary!$D$15</f>
        <v>14</v>
      </c>
      <c r="H19" s="105">
        <f>[44]Summary!$D$16</f>
        <v>0</v>
      </c>
      <c r="I19" s="105">
        <f>[44]Summary!$E$12</f>
        <v>3</v>
      </c>
      <c r="J19" s="105">
        <f>[44]Summary!$E$13</f>
        <v>28</v>
      </c>
      <c r="K19" s="105">
        <f>[44]Summary!$E$14</f>
        <v>1</v>
      </c>
      <c r="L19" s="105">
        <f>[44]Summary!$E$15</f>
        <v>14</v>
      </c>
      <c r="M19" s="105">
        <f>[44]Summary!$E$16</f>
        <v>0</v>
      </c>
      <c r="N19" s="105">
        <f>[44]Summary!$F$12</f>
        <v>1</v>
      </c>
      <c r="O19" s="105">
        <f>[44]Summary!$F$13</f>
        <v>0</v>
      </c>
      <c r="P19" s="105">
        <f>[44]Summary!$F$14</f>
        <v>0</v>
      </c>
      <c r="Q19" s="105">
        <f>[44]Summary!$F$15</f>
        <v>0</v>
      </c>
      <c r="R19" s="105">
        <f>[44]Summary!$F$16</f>
        <v>0</v>
      </c>
      <c r="S19" s="105">
        <f>[44]Summary!$G$12</f>
        <v>3</v>
      </c>
      <c r="T19" s="105">
        <f>[44]Summary!$G$13</f>
        <v>28</v>
      </c>
      <c r="U19" s="105">
        <f>[44]Summary!$G$14</f>
        <v>1</v>
      </c>
      <c r="V19" s="105">
        <f>[44]Summary!$G$15</f>
        <v>14</v>
      </c>
      <c r="W19" s="105">
        <f>[44]Summary!$G$16</f>
        <v>0</v>
      </c>
      <c r="X19" s="105">
        <f>[44]Summary!$D$20</f>
        <v>1</v>
      </c>
      <c r="Y19" s="105">
        <f>[44]Summary!$D$21</f>
        <v>0</v>
      </c>
      <c r="Z19" s="105">
        <f>[44]Summary!$D$22</f>
        <v>8</v>
      </c>
      <c r="AA19" s="105">
        <f>[44]Summary!$D$23</f>
        <v>42</v>
      </c>
      <c r="AB19" s="105">
        <f>[44]Summary!$D$24</f>
        <v>1</v>
      </c>
      <c r="AC19" s="105">
        <f>[44]Summary!$D$25</f>
        <v>2</v>
      </c>
      <c r="AD19" s="105">
        <f>[44]Summary!$D$26</f>
        <v>0</v>
      </c>
      <c r="AE19" s="105">
        <f>[44]Summary!$D$27</f>
        <v>1</v>
      </c>
      <c r="AF19" s="105">
        <f>[44]Summary!$D$28</f>
        <v>0</v>
      </c>
    </row>
    <row r="20" spans="2:32" s="102" customFormat="1" ht="12" x14ac:dyDescent="0.3">
      <c r="B20" s="105">
        <v>16</v>
      </c>
      <c r="C20" s="113" t="str">
        <f>[45]Summary!$B$7</f>
        <v>Mail Box</v>
      </c>
      <c r="D20" s="105">
        <f>[45]Summary!$D$12</f>
        <v>5</v>
      </c>
      <c r="E20" s="105">
        <f>[45]Summary!$D$13</f>
        <v>51</v>
      </c>
      <c r="F20" s="105">
        <f>[45]Summary!$D$14</f>
        <v>0</v>
      </c>
      <c r="G20" s="105">
        <f>[45]Summary!$D$15</f>
        <v>2</v>
      </c>
      <c r="H20" s="105">
        <f>[45]Summary!$D$16</f>
        <v>5</v>
      </c>
      <c r="I20" s="105">
        <f>[45]Summary!$E$12</f>
        <v>4</v>
      </c>
      <c r="J20" s="105">
        <f>[45]Summary!$E$13</f>
        <v>51</v>
      </c>
      <c r="K20" s="105">
        <f>[45]Summary!$E$14</f>
        <v>0</v>
      </c>
      <c r="L20" s="105">
        <f>[45]Summary!$E$15</f>
        <v>0</v>
      </c>
      <c r="M20" s="105">
        <f>[45]Summary!$E$16</f>
        <v>5</v>
      </c>
      <c r="N20" s="105">
        <f>[45]Summary!$F$12</f>
        <v>1</v>
      </c>
      <c r="O20" s="105">
        <f>[45]Summary!$F$13</f>
        <v>5</v>
      </c>
      <c r="P20" s="105">
        <f>[45]Summary!$F$14</f>
        <v>0</v>
      </c>
      <c r="Q20" s="105">
        <f>[45]Summary!$F$15</f>
        <v>0</v>
      </c>
      <c r="R20" s="105">
        <f>[45]Summary!$F$16</f>
        <v>0</v>
      </c>
      <c r="S20" s="105">
        <f>[45]Summary!$G$12</f>
        <v>4</v>
      </c>
      <c r="T20" s="105">
        <f>[45]Summary!$G$13</f>
        <v>51</v>
      </c>
      <c r="U20" s="105">
        <f>[45]Summary!$G$14</f>
        <v>0</v>
      </c>
      <c r="V20" s="105">
        <f>[45]Summary!$G$15</f>
        <v>0</v>
      </c>
      <c r="W20" s="105">
        <f>[45]Summary!$G$16</f>
        <v>0</v>
      </c>
      <c r="X20" s="105">
        <f>[45]Summary!$D$20</f>
        <v>1</v>
      </c>
      <c r="Y20" s="105">
        <f>[45]Summary!$D$21</f>
        <v>0</v>
      </c>
      <c r="Z20" s="105">
        <f>[45]Summary!$D$22</f>
        <v>2</v>
      </c>
      <c r="AA20" s="105">
        <f>[45]Summary!$D$23</f>
        <v>5</v>
      </c>
      <c r="AB20" s="105">
        <f>[45]Summary!$D$24</f>
        <v>0</v>
      </c>
      <c r="AC20" s="105">
        <f>[45]Summary!$D$25</f>
        <v>55</v>
      </c>
      <c r="AD20" s="105">
        <f>[45]Summary!$D$26</f>
        <v>0</v>
      </c>
      <c r="AE20" s="105">
        <f>[45]Summary!$D$27</f>
        <v>0</v>
      </c>
      <c r="AF20" s="105">
        <f>[45]Summary!$D$28</f>
        <v>0</v>
      </c>
    </row>
    <row r="21" spans="2:32" s="102" customFormat="1" ht="12" x14ac:dyDescent="0.3">
      <c r="B21" s="105">
        <v>17</v>
      </c>
      <c r="C21" s="113" t="str">
        <f>[46]Summary!$B$7</f>
        <v>Timer</v>
      </c>
      <c r="D21" s="105">
        <f>[46]Summary!$D$12</f>
        <v>4</v>
      </c>
      <c r="E21" s="105">
        <f>[46]Summary!$D$13</f>
        <v>8</v>
      </c>
      <c r="F21" s="105">
        <f>[46]Summary!$D$14</f>
        <v>5</v>
      </c>
      <c r="G21" s="105">
        <f>[46]Summary!$D$15</f>
        <v>0</v>
      </c>
      <c r="H21" s="105">
        <f>[46]Summary!$D$16</f>
        <v>0</v>
      </c>
      <c r="I21" s="105">
        <f>[46]Summary!$E$12</f>
        <v>3</v>
      </c>
      <c r="J21" s="105">
        <f>[46]Summary!$E$13</f>
        <v>8</v>
      </c>
      <c r="K21" s="105">
        <f>[46]Summary!$E$14</f>
        <v>5</v>
      </c>
      <c r="L21" s="105">
        <f>[46]Summary!$E$15</f>
        <v>0</v>
      </c>
      <c r="M21" s="105">
        <f>[46]Summary!$E$16</f>
        <v>0</v>
      </c>
      <c r="N21" s="105">
        <f>[46]Summary!$F$12</f>
        <v>0</v>
      </c>
      <c r="O21" s="105">
        <f>[46]Summary!$F$13</f>
        <v>2</v>
      </c>
      <c r="P21" s="105">
        <f>[46]Summary!$F$14</f>
        <v>0</v>
      </c>
      <c r="Q21" s="105">
        <f>[46]Summary!$F$15</f>
        <v>0</v>
      </c>
      <c r="R21" s="105">
        <f>[46]Summary!$F$16</f>
        <v>0</v>
      </c>
      <c r="S21" s="105">
        <f>[46]Summary!$G$12</f>
        <v>3</v>
      </c>
      <c r="T21" s="105">
        <f>[46]Summary!$G$13</f>
        <v>13</v>
      </c>
      <c r="U21" s="105">
        <f>[46]Summary!$G$14</f>
        <v>0</v>
      </c>
      <c r="V21" s="105">
        <f>[46]Summary!$G$15</f>
        <v>0</v>
      </c>
      <c r="W21" s="105">
        <f>[46]Summary!$G$16</f>
        <v>0</v>
      </c>
      <c r="X21" s="105">
        <f>[46]Summary!$D$20</f>
        <v>1</v>
      </c>
      <c r="Y21" s="105">
        <f>[46]Summary!$D$21</f>
        <v>0</v>
      </c>
      <c r="Z21" s="105">
        <f>[46]Summary!$D$22</f>
        <v>0</v>
      </c>
      <c r="AA21" s="105">
        <f>[46]Summary!$D$23</f>
        <v>1</v>
      </c>
      <c r="AB21" s="105">
        <f>[46]Summary!$D$24</f>
        <v>1</v>
      </c>
      <c r="AC21" s="105">
        <f>[46]Summary!$D$25</f>
        <v>1</v>
      </c>
      <c r="AD21" s="105">
        <f>[46]Summary!$D$26</f>
        <v>13</v>
      </c>
      <c r="AE21" s="105">
        <f>[46]Summary!$D$27</f>
        <v>0</v>
      </c>
      <c r="AF21" s="105">
        <f>[46]Summary!$D$28</f>
        <v>0</v>
      </c>
    </row>
    <row r="22" spans="2:32" s="102" customFormat="1" ht="12" x14ac:dyDescent="0.3">
      <c r="B22" s="105">
        <v>18</v>
      </c>
      <c r="C22" s="113" t="str">
        <f>[47]Summary!$B$7</f>
        <v>UART</v>
      </c>
      <c r="D22" s="105">
        <f>[47]Summary!$D$12</f>
        <v>10</v>
      </c>
      <c r="E22" s="105">
        <f>[47]Summary!$D$13</f>
        <v>17</v>
      </c>
      <c r="F22" s="105">
        <f>[47]Summary!$D$14</f>
        <v>0</v>
      </c>
      <c r="G22" s="105">
        <f>[47]Summary!$D$15</f>
        <v>0</v>
      </c>
      <c r="H22" s="105">
        <f>[47]Summary!$D$16</f>
        <v>0</v>
      </c>
      <c r="I22" s="105">
        <f>[47]Summary!$E$12</f>
        <v>9</v>
      </c>
      <c r="J22" s="105">
        <f>[47]Summary!$E$13</f>
        <v>15</v>
      </c>
      <c r="K22" s="105">
        <f>[47]Summary!$E$14</f>
        <v>0</v>
      </c>
      <c r="L22" s="105">
        <f>[47]Summary!$E$15</f>
        <v>0</v>
      </c>
      <c r="M22" s="105">
        <f>[47]Summary!$E$16</f>
        <v>0</v>
      </c>
      <c r="N22" s="105">
        <f>[47]Summary!$F$12</f>
        <v>1</v>
      </c>
      <c r="O22" s="105">
        <f>[47]Summary!$F$13</f>
        <v>0</v>
      </c>
      <c r="P22" s="105">
        <f>[47]Summary!$F$14</f>
        <v>0</v>
      </c>
      <c r="Q22" s="105">
        <f>[47]Summary!$F$15</f>
        <v>0</v>
      </c>
      <c r="R22" s="105">
        <f>[47]Summary!$F$16</f>
        <v>0</v>
      </c>
      <c r="S22" s="105">
        <f>[47]Summary!$G$12</f>
        <v>9</v>
      </c>
      <c r="T22" s="105">
        <f>[47]Summary!$G$13</f>
        <v>15</v>
      </c>
      <c r="U22" s="105">
        <f>[47]Summary!$G$14</f>
        <v>0</v>
      </c>
      <c r="V22" s="105">
        <f>[47]Summary!$G$15</f>
        <v>0</v>
      </c>
      <c r="W22" s="105">
        <f>[47]Summary!$G$16</f>
        <v>0</v>
      </c>
      <c r="X22" s="105">
        <f>[47]Summary!$D$20</f>
        <v>1</v>
      </c>
      <c r="Y22" s="105">
        <f>[47]Summary!$D$21</f>
        <v>0</v>
      </c>
      <c r="Z22" s="105">
        <f>[47]Summary!$D$22</f>
        <v>0</v>
      </c>
      <c r="AA22" s="105">
        <f>[47]Summary!$D$23</f>
        <v>21</v>
      </c>
      <c r="AB22" s="105">
        <f>[47]Summary!$D$24</f>
        <v>4</v>
      </c>
      <c r="AC22" s="105">
        <f>[47]Summary!$D$25</f>
        <v>1</v>
      </c>
      <c r="AD22" s="105">
        <f>[47]Summary!$D$26</f>
        <v>0</v>
      </c>
      <c r="AE22" s="105">
        <f>[47]Summary!$D$27</f>
        <v>0</v>
      </c>
      <c r="AF22" s="105">
        <f>[47]Summary!$D$28</f>
        <v>0</v>
      </c>
    </row>
    <row r="23" spans="2:32" s="102" customFormat="1" ht="12" x14ac:dyDescent="0.3">
      <c r="B23" s="105">
        <v>19</v>
      </c>
      <c r="C23" s="113" t="str">
        <f>[48]Summary!$B$7</f>
        <v>GPIO</v>
      </c>
      <c r="D23" s="105">
        <f>[48]Summary!$D$12</f>
        <v>6</v>
      </c>
      <c r="E23" s="105">
        <f>[48]Summary!$D$13</f>
        <v>8</v>
      </c>
      <c r="F23" s="105">
        <f>[48]Summary!$D$14</f>
        <v>0</v>
      </c>
      <c r="G23" s="105">
        <f>[48]Summary!$D$15</f>
        <v>0</v>
      </c>
      <c r="H23" s="105">
        <f>[48]Summary!$D$16</f>
        <v>0</v>
      </c>
      <c r="I23" s="105">
        <f>[48]Summary!$E$12</f>
        <v>5</v>
      </c>
      <c r="J23" s="105">
        <f>[48]Summary!$E$13</f>
        <v>8</v>
      </c>
      <c r="K23" s="105">
        <f>[48]Summary!$E$14</f>
        <v>0</v>
      </c>
      <c r="L23" s="105">
        <f>[48]Summary!$E$15</f>
        <v>0</v>
      </c>
      <c r="M23" s="105">
        <f>[48]Summary!$E$16</f>
        <v>0</v>
      </c>
      <c r="N23" s="105">
        <f>[48]Summary!$F$12</f>
        <v>1</v>
      </c>
      <c r="O23" s="105">
        <f>[48]Summary!$F$13</f>
        <v>0</v>
      </c>
      <c r="P23" s="105">
        <f>[48]Summary!$F$14</f>
        <v>0</v>
      </c>
      <c r="Q23" s="105">
        <f>[48]Summary!$F$15</f>
        <v>0</v>
      </c>
      <c r="R23" s="105">
        <f>[48]Summary!$F$16</f>
        <v>0</v>
      </c>
      <c r="S23" s="105">
        <f>[48]Summary!$G$12</f>
        <v>5</v>
      </c>
      <c r="T23" s="105">
        <f>[48]Summary!$G$13</f>
        <v>8</v>
      </c>
      <c r="U23" s="105">
        <f>[48]Summary!$G$14</f>
        <v>0</v>
      </c>
      <c r="V23" s="105">
        <f>[48]Summary!$G$15</f>
        <v>0</v>
      </c>
      <c r="W23" s="105">
        <f>[48]Summary!$G$16</f>
        <v>0</v>
      </c>
      <c r="X23" s="105">
        <f>[48]Summary!$D$20</f>
        <v>3</v>
      </c>
      <c r="Y23" s="105">
        <f>[48]Summary!$D$21</f>
        <v>0</v>
      </c>
      <c r="Z23" s="105">
        <f>[48]Summary!$D$22</f>
        <v>0</v>
      </c>
      <c r="AA23" s="105">
        <f>[48]Summary!$D$23</f>
        <v>11</v>
      </c>
      <c r="AB23" s="105">
        <f>[48]Summary!$D$24</f>
        <v>1</v>
      </c>
      <c r="AC23" s="105">
        <f>[48]Summary!$D$25</f>
        <v>1</v>
      </c>
      <c r="AD23" s="105">
        <f>[48]Summary!$D$26</f>
        <v>0</v>
      </c>
      <c r="AE23" s="105">
        <f>[48]Summary!$D$27</f>
        <v>0</v>
      </c>
      <c r="AF23" s="105">
        <f>[48]Summary!$D$28</f>
        <v>0</v>
      </c>
    </row>
    <row r="24" spans="2:32" s="102" customFormat="1" ht="12" x14ac:dyDescent="0.3">
      <c r="B24" s="105">
        <v>20</v>
      </c>
      <c r="C24" s="113" t="str">
        <f>[49]Summary!$B$7</f>
        <v>System Register</v>
      </c>
      <c r="D24" s="105">
        <f>[49]Summary!$D$12</f>
        <v>4</v>
      </c>
      <c r="E24" s="105">
        <f>[49]Summary!$D$13</f>
        <v>158</v>
      </c>
      <c r="F24" s="105">
        <f>[49]Summary!$D$14</f>
        <v>0</v>
      </c>
      <c r="G24" s="105">
        <f>[49]Summary!$D$15</f>
        <v>0</v>
      </c>
      <c r="H24" s="105">
        <f>[49]Summary!$D$16</f>
        <v>0</v>
      </c>
      <c r="I24" s="105">
        <f>[49]Summary!$E$12</f>
        <v>2</v>
      </c>
      <c r="J24" s="105">
        <f>[49]Summary!$E$13</f>
        <v>13</v>
      </c>
      <c r="K24" s="105">
        <f>[49]Summary!$E$14</f>
        <v>0</v>
      </c>
      <c r="L24" s="105">
        <f>[49]Summary!$E$15</f>
        <v>0</v>
      </c>
      <c r="M24" s="105">
        <f>[49]Summary!$E$16</f>
        <v>0</v>
      </c>
      <c r="N24" s="105">
        <f>[49]Summary!$F$12</f>
        <v>2</v>
      </c>
      <c r="O24" s="105">
        <f>[49]Summary!$F$13</f>
        <v>57</v>
      </c>
      <c r="P24" s="105">
        <f>[49]Summary!$F$14</f>
        <v>0</v>
      </c>
      <c r="Q24" s="105">
        <f>[49]Summary!$F$15</f>
        <v>0</v>
      </c>
      <c r="R24" s="105">
        <f>[49]Summary!$F$16</f>
        <v>0</v>
      </c>
      <c r="S24" s="105">
        <f>[49]Summary!$G$12</f>
        <v>1</v>
      </c>
      <c r="T24" s="105">
        <f>[49]Summary!$G$13</f>
        <v>39</v>
      </c>
      <c r="U24" s="105">
        <f>[49]Summary!$G$14</f>
        <v>0</v>
      </c>
      <c r="V24" s="105">
        <f>[49]Summary!$G$15</f>
        <v>0</v>
      </c>
      <c r="W24" s="105">
        <f>[49]Summary!$G$16</f>
        <v>0</v>
      </c>
      <c r="X24" s="105">
        <f>[49]Summary!$D$20</f>
        <v>1</v>
      </c>
      <c r="Y24" s="105">
        <f>[49]Summary!$D$21</f>
        <v>0</v>
      </c>
      <c r="Z24" s="105">
        <f>[49]Summary!$D$22</f>
        <v>0</v>
      </c>
      <c r="AA24" s="105">
        <f>[49]Summary!$D$23</f>
        <v>0</v>
      </c>
      <c r="AB24" s="105">
        <f>[49]Summary!$D$24</f>
        <v>0</v>
      </c>
      <c r="AC24" s="105">
        <f>[49]Summary!$D$25</f>
        <v>164</v>
      </c>
      <c r="AD24" s="105">
        <f>[49]Summary!$D$26</f>
        <v>0</v>
      </c>
      <c r="AE24" s="105">
        <f>[49]Summary!$D$27</f>
        <v>0</v>
      </c>
      <c r="AF24" s="105">
        <f>[49]Summary!$D$28</f>
        <v>0</v>
      </c>
    </row>
    <row r="25" spans="2:32" s="102" customFormat="1" ht="12" x14ac:dyDescent="0.3">
      <c r="B25" s="105">
        <v>21</v>
      </c>
      <c r="C25" s="113" t="str">
        <f>[50]Summary!$B$7</f>
        <v>PMU</v>
      </c>
      <c r="D25" s="105">
        <f>[50]Summary!$D$12</f>
        <v>1</v>
      </c>
      <c r="E25" s="105">
        <f>[50]Summary!$D$13</f>
        <v>35</v>
      </c>
      <c r="F25" s="105">
        <f>[50]Summary!$D$14</f>
        <v>32</v>
      </c>
      <c r="G25" s="105">
        <f>[50]Summary!$D$15</f>
        <v>0</v>
      </c>
      <c r="H25" s="105">
        <f>[50]Summary!$D$16</f>
        <v>4</v>
      </c>
      <c r="I25" s="105">
        <f>[50]Summary!$E$12</f>
        <v>0</v>
      </c>
      <c r="J25" s="105">
        <f>[50]Summary!$E$13</f>
        <v>4</v>
      </c>
      <c r="K25" s="105">
        <f>[50]Summary!$E$14</f>
        <v>19</v>
      </c>
      <c r="L25" s="105">
        <f>[50]Summary!$E$15</f>
        <v>4</v>
      </c>
      <c r="M25" s="105">
        <f>[50]Summary!$E$16</f>
        <v>1</v>
      </c>
      <c r="N25" s="105">
        <f>[50]Summary!$F$12</f>
        <v>0</v>
      </c>
      <c r="O25" s="105">
        <f>[50]Summary!$F$13</f>
        <v>20</v>
      </c>
      <c r="P25" s="105">
        <f>[50]Summary!$F$14</f>
        <v>0</v>
      </c>
      <c r="Q25" s="105">
        <f>[50]Summary!$F$15</f>
        <v>0</v>
      </c>
      <c r="R25" s="105">
        <f>[50]Summary!$F$16</f>
        <v>0</v>
      </c>
      <c r="S25" s="105">
        <f>[50]Summary!$G$12</f>
        <v>0</v>
      </c>
      <c r="T25" s="105">
        <f>[50]Summary!$G$13</f>
        <v>21</v>
      </c>
      <c r="U25" s="105">
        <f>[50]Summary!$G$14</f>
        <v>37</v>
      </c>
      <c r="V25" s="105">
        <f>[50]Summary!$G$15</f>
        <v>6</v>
      </c>
      <c r="W25" s="105">
        <f>[50]Summary!$G$16</f>
        <v>2</v>
      </c>
      <c r="X25" s="105">
        <f>[50]Summary!$D$20</f>
        <v>1</v>
      </c>
      <c r="Y25" s="105">
        <f>[50]Summary!$D$21</f>
        <v>0</v>
      </c>
      <c r="Z25" s="105">
        <f>[50]Summary!$D$22</f>
        <v>2</v>
      </c>
      <c r="AA25" s="105">
        <f>[50]Summary!$D$23</f>
        <v>2</v>
      </c>
      <c r="AB25" s="105">
        <f>[50]Summary!$D$24</f>
        <v>1</v>
      </c>
      <c r="AC25" s="105">
        <f>[50]Summary!$D$25</f>
        <v>37</v>
      </c>
      <c r="AD25" s="105">
        <f>[50]Summary!$D$26</f>
        <v>39</v>
      </c>
      <c r="AE25" s="105">
        <f>[50]Summary!$D$27</f>
        <v>9</v>
      </c>
      <c r="AF25" s="105">
        <f>[50]Summary!$D$28</f>
        <v>0</v>
      </c>
    </row>
    <row r="26" spans="2:32" s="102" customFormat="1" ht="12" x14ac:dyDescent="0.3">
      <c r="B26" s="105">
        <v>22</v>
      </c>
      <c r="C26" s="113" t="str">
        <f>[51]Summary!$B$7</f>
        <v>Clock Controller</v>
      </c>
      <c r="D26" s="105">
        <f>[51]Summary!$D$12</f>
        <v>0</v>
      </c>
      <c r="E26" s="105">
        <f>[51]Summary!$D$13</f>
        <v>25</v>
      </c>
      <c r="F26" s="105">
        <f>[51]Summary!$D$14</f>
        <v>0</v>
      </c>
      <c r="G26" s="105">
        <f>[51]Summary!$D$15</f>
        <v>0</v>
      </c>
      <c r="H26" s="105">
        <f>[51]Summary!$D$16</f>
        <v>0</v>
      </c>
      <c r="I26" s="105">
        <f>[51]Summary!$E$12</f>
        <v>0</v>
      </c>
      <c r="J26" s="105">
        <f>[51]Summary!$E$13</f>
        <v>0</v>
      </c>
      <c r="K26" s="105">
        <f>[51]Summary!$E$14</f>
        <v>0</v>
      </c>
      <c r="L26" s="105">
        <f>[51]Summary!$E$15</f>
        <v>0</v>
      </c>
      <c r="M26" s="105">
        <f>[51]Summary!$E$16</f>
        <v>0</v>
      </c>
      <c r="N26" s="105">
        <f>[51]Summary!$F$12</f>
        <v>0</v>
      </c>
      <c r="O26" s="105">
        <f>[51]Summary!$F$13</f>
        <v>25</v>
      </c>
      <c r="P26" s="105">
        <f>[51]Summary!$F$14</f>
        <v>0</v>
      </c>
      <c r="Q26" s="105">
        <f>[51]Summary!$F$15</f>
        <v>0</v>
      </c>
      <c r="R26" s="105">
        <f>[51]Summary!$F$16</f>
        <v>0</v>
      </c>
      <c r="S26" s="105">
        <f>[51]Summary!$G$12</f>
        <v>0</v>
      </c>
      <c r="T26" s="105">
        <f>[51]Summary!$G$13</f>
        <v>18</v>
      </c>
      <c r="U26" s="105">
        <f>[51]Summary!$G$14</f>
        <v>0</v>
      </c>
      <c r="V26" s="105">
        <f>[51]Summary!$G$15</f>
        <v>0</v>
      </c>
      <c r="W26" s="105">
        <f>[51]Summary!$G$16</f>
        <v>0</v>
      </c>
      <c r="X26" s="105">
        <f>[51]Summary!$D$20</f>
        <v>0</v>
      </c>
      <c r="Y26" s="105">
        <f>[51]Summary!$D$21</f>
        <v>0</v>
      </c>
      <c r="Z26" s="105">
        <f>[51]Summary!$D$22</f>
        <v>0</v>
      </c>
      <c r="AA26" s="105">
        <f>[51]Summary!$D$23</f>
        <v>0</v>
      </c>
      <c r="AB26" s="105">
        <f>[51]Summary!$D$24</f>
        <v>0</v>
      </c>
      <c r="AC26" s="105">
        <f>[51]Summary!$D$25</f>
        <v>25</v>
      </c>
      <c r="AD26" s="105">
        <f>[51]Summary!$D$26</f>
        <v>0</v>
      </c>
      <c r="AE26" s="105">
        <f>[51]Summary!$D$27</f>
        <v>0</v>
      </c>
      <c r="AF26" s="105">
        <f>[51]Summary!$D$28</f>
        <v>0</v>
      </c>
    </row>
    <row r="27" spans="2:32" s="102" customFormat="1" ht="12" x14ac:dyDescent="0.3">
      <c r="B27" s="105">
        <v>23</v>
      </c>
      <c r="C27" s="113" t="str">
        <f>[52]Summary!$B$7</f>
        <v>Reset Controller</v>
      </c>
      <c r="D27" s="105">
        <f>[52]Summary!$D$12</f>
        <v>2</v>
      </c>
      <c r="E27" s="105">
        <f>[52]Summary!$D$13</f>
        <v>10</v>
      </c>
      <c r="F27" s="105">
        <f>[52]Summary!$D$14</f>
        <v>0</v>
      </c>
      <c r="G27" s="105">
        <f>[52]Summary!$D$15</f>
        <v>0</v>
      </c>
      <c r="H27" s="105">
        <f>[52]Summary!$D$16</f>
        <v>0</v>
      </c>
      <c r="I27" s="105">
        <f>[52]Summary!$E$12</f>
        <v>1</v>
      </c>
      <c r="J27" s="105">
        <f>[52]Summary!$E$13</f>
        <v>9</v>
      </c>
      <c r="K27" s="105">
        <f>[52]Summary!$E$14</f>
        <v>0</v>
      </c>
      <c r="L27" s="105">
        <f>[52]Summary!$E$15</f>
        <v>0</v>
      </c>
      <c r="M27" s="105">
        <f>[52]Summary!$E$16</f>
        <v>0</v>
      </c>
      <c r="N27" s="105">
        <f>[52]Summary!$F$12</f>
        <v>0</v>
      </c>
      <c r="O27" s="105">
        <f>[52]Summary!$F$13</f>
        <v>11</v>
      </c>
      <c r="P27" s="105">
        <f>[52]Summary!$F$14</f>
        <v>0</v>
      </c>
      <c r="Q27" s="105">
        <f>[52]Summary!$F$15</f>
        <v>0</v>
      </c>
      <c r="R27" s="105">
        <f>[52]Summary!$F$16</f>
        <v>0</v>
      </c>
      <c r="S27" s="105">
        <f>[52]Summary!$G$12</f>
        <v>0</v>
      </c>
      <c r="T27" s="105">
        <f>[52]Summary!$G$13</f>
        <v>10</v>
      </c>
      <c r="U27" s="105">
        <f>[52]Summary!$G$14</f>
        <v>0</v>
      </c>
      <c r="V27" s="105">
        <f>[52]Summary!$G$15</f>
        <v>0</v>
      </c>
      <c r="W27" s="105">
        <f>[52]Summary!$G$16</f>
        <v>0</v>
      </c>
      <c r="X27" s="105">
        <f>[52]Summary!$D$20</f>
        <v>1</v>
      </c>
      <c r="Y27" s="105">
        <f>[52]Summary!$D$21</f>
        <v>0</v>
      </c>
      <c r="Z27" s="105">
        <f>[52]Summary!$D$22</f>
        <v>0</v>
      </c>
      <c r="AA27" s="105">
        <f>[52]Summary!$D$23</f>
        <v>4</v>
      </c>
      <c r="AB27" s="105">
        <f>[52]Summary!$D$24</f>
        <v>0</v>
      </c>
      <c r="AC27" s="105">
        <f>[52]Summary!$D$25</f>
        <v>12</v>
      </c>
      <c r="AD27" s="105">
        <f>[52]Summary!$D$26</f>
        <v>1</v>
      </c>
      <c r="AE27" s="105">
        <f>[52]Summary!$D$27</f>
        <v>0</v>
      </c>
      <c r="AF27" s="105">
        <f>[52]Summary!$D$28</f>
        <v>0</v>
      </c>
    </row>
    <row r="28" spans="2:32" s="102" customFormat="1" ht="12" x14ac:dyDescent="0.3">
      <c r="B28" s="105">
        <v>24</v>
      </c>
      <c r="C28" s="113" t="str">
        <f>[53]Summary!$B$7</f>
        <v>M-PHY</v>
      </c>
      <c r="D28" s="105">
        <f>[53]Summary!$D$12</f>
        <v>6</v>
      </c>
      <c r="E28" s="105">
        <f>[53]Summary!$D$13</f>
        <v>32</v>
      </c>
      <c r="F28" s="105">
        <f>[53]Summary!$D$14</f>
        <v>0</v>
      </c>
      <c r="G28" s="105">
        <f>[53]Summary!$D$15</f>
        <v>0</v>
      </c>
      <c r="H28" s="105">
        <f>[53]Summary!$D$16</f>
        <v>0</v>
      </c>
      <c r="I28" s="105">
        <f>[53]Summary!$E$12</f>
        <v>0</v>
      </c>
      <c r="J28" s="105">
        <f>[53]Summary!$E$13</f>
        <v>4</v>
      </c>
      <c r="K28" s="105">
        <f>[53]Summary!$E$14</f>
        <v>0</v>
      </c>
      <c r="L28" s="105">
        <f>[53]Summary!$E$15</f>
        <v>0</v>
      </c>
      <c r="M28" s="105">
        <f>[53]Summary!$E$16</f>
        <v>0</v>
      </c>
      <c r="N28" s="105">
        <f>[53]Summary!$F$12</f>
        <v>6</v>
      </c>
      <c r="O28" s="105">
        <f>[53]Summary!$F$13</f>
        <v>13</v>
      </c>
      <c r="P28" s="105">
        <f>[53]Summary!$F$14</f>
        <v>0</v>
      </c>
      <c r="Q28" s="105">
        <f>[53]Summary!$F$15</f>
        <v>0</v>
      </c>
      <c r="R28" s="105">
        <f>[53]Summary!$F$16</f>
        <v>0</v>
      </c>
      <c r="S28" s="105">
        <f>[53]Summary!$G$12</f>
        <v>6</v>
      </c>
      <c r="T28" s="105">
        <f>[53]Summary!$G$13</f>
        <v>26</v>
      </c>
      <c r="U28" s="105">
        <f>[53]Summary!$G$14</f>
        <v>0</v>
      </c>
      <c r="V28" s="105">
        <f>[53]Summary!$G$15</f>
        <v>0</v>
      </c>
      <c r="W28" s="105">
        <f>[53]Summary!$G$16</f>
        <v>0</v>
      </c>
      <c r="X28" s="105">
        <f>[53]Summary!$D$20</f>
        <v>0</v>
      </c>
      <c r="Y28" s="105">
        <f>[53]Summary!$D$21</f>
        <v>0</v>
      </c>
      <c r="Z28" s="105">
        <f>[53]Summary!$D$22</f>
        <v>0</v>
      </c>
      <c r="AA28" s="105">
        <f>[53]Summary!$D$23</f>
        <v>0</v>
      </c>
      <c r="AB28" s="105">
        <f>[53]Summary!$D$24</f>
        <v>0</v>
      </c>
      <c r="AC28" s="105">
        <f>[53]Summary!$D$25</f>
        <v>38</v>
      </c>
      <c r="AD28" s="105">
        <f>[53]Summary!$D$26</f>
        <v>0</v>
      </c>
      <c r="AE28" s="105">
        <f>[53]Summary!$D$27</f>
        <v>2</v>
      </c>
      <c r="AF28" s="105">
        <f>[53]Summary!$D$28</f>
        <v>18</v>
      </c>
    </row>
    <row r="29" spans="2:32" s="102" customFormat="1" ht="12" x14ac:dyDescent="0.3">
      <c r="B29" s="105">
        <v>25</v>
      </c>
      <c r="C29" s="113" t="str">
        <f>[54]Summary!$B$7</f>
        <v>Nand PHY</v>
      </c>
      <c r="D29" s="105">
        <f>[54]Summary!$D$12</f>
        <v>0</v>
      </c>
      <c r="E29" s="105">
        <f>[54]Summary!$D$13</f>
        <v>33</v>
      </c>
      <c r="F29" s="105">
        <f>[54]Summary!$D$14</f>
        <v>0</v>
      </c>
      <c r="G29" s="105">
        <f>[54]Summary!$D$15</f>
        <v>0</v>
      </c>
      <c r="H29" s="105">
        <f>[54]Summary!$D$16</f>
        <v>0</v>
      </c>
      <c r="I29" s="105">
        <f>[54]Summary!$E$12</f>
        <v>0</v>
      </c>
      <c r="J29" s="105">
        <f>[54]Summary!$E$13</f>
        <v>24</v>
      </c>
      <c r="K29" s="105">
        <f>[54]Summary!$E$14</f>
        <v>0</v>
      </c>
      <c r="L29" s="105">
        <f>[54]Summary!$E$15</f>
        <v>0</v>
      </c>
      <c r="M29" s="105">
        <f>[54]Summary!$E$16</f>
        <v>0</v>
      </c>
      <c r="N29" s="105">
        <f>[54]Summary!$F$12</f>
        <v>0</v>
      </c>
      <c r="O29" s="105">
        <f>[54]Summary!$F$13</f>
        <v>28</v>
      </c>
      <c r="P29" s="105">
        <f>[54]Summary!$F$14</f>
        <v>0</v>
      </c>
      <c r="Q29" s="105">
        <f>[54]Summary!$F$15</f>
        <v>0</v>
      </c>
      <c r="R29" s="105">
        <f>[54]Summary!$F$16</f>
        <v>0</v>
      </c>
      <c r="S29" s="105">
        <f>[54]Summary!$G$12</f>
        <v>0</v>
      </c>
      <c r="T29" s="105">
        <f>[54]Summary!$G$13</f>
        <v>24</v>
      </c>
      <c r="U29" s="105">
        <f>[54]Summary!$G$14</f>
        <v>0</v>
      </c>
      <c r="V29" s="105">
        <f>[54]Summary!$G$15</f>
        <v>0</v>
      </c>
      <c r="W29" s="105">
        <f>[54]Summary!$G$16</f>
        <v>0</v>
      </c>
      <c r="X29" s="105">
        <f>[54]Summary!$D$20</f>
        <v>0</v>
      </c>
      <c r="Y29" s="105">
        <f>[54]Summary!$D$21</f>
        <v>0</v>
      </c>
      <c r="Z29" s="105">
        <f>[54]Summary!$D$22</f>
        <v>0</v>
      </c>
      <c r="AA29" s="105">
        <f>[54]Summary!$D$23</f>
        <v>33</v>
      </c>
      <c r="AB29" s="105">
        <f>[54]Summary!$D$24</f>
        <v>0</v>
      </c>
      <c r="AC29" s="105">
        <f>[54]Summary!$D$25</f>
        <v>0</v>
      </c>
      <c r="AD29" s="105">
        <f>[54]Summary!$D$26</f>
        <v>0</v>
      </c>
      <c r="AE29" s="105">
        <f>[54]Summary!$D$27</f>
        <v>0</v>
      </c>
      <c r="AF29" s="105">
        <f>[54]Summary!$D$28</f>
        <v>0</v>
      </c>
    </row>
    <row r="30" spans="2:32" s="102" customFormat="1" ht="12" x14ac:dyDescent="0.3">
      <c r="B30" s="105">
        <v>26</v>
      </c>
      <c r="C30" s="113" t="str">
        <f>[55]Summary!$B$7</f>
        <v>NAND IO</v>
      </c>
      <c r="D30" s="105">
        <f>[55]Summary!$D$12</f>
        <v>0</v>
      </c>
      <c r="E30" s="105">
        <f>[55]Summary!$D$13</f>
        <v>7</v>
      </c>
      <c r="F30" s="105">
        <f>[55]Summary!$D$14</f>
        <v>0</v>
      </c>
      <c r="G30" s="105">
        <f>[55]Summary!$D$15</f>
        <v>0</v>
      </c>
      <c r="H30" s="105">
        <f>[55]Summary!$D$16</f>
        <v>0</v>
      </c>
      <c r="I30" s="105">
        <f>[55]Summary!$E$12</f>
        <v>0</v>
      </c>
      <c r="J30" s="105">
        <f>[55]Summary!$E$13</f>
        <v>0</v>
      </c>
      <c r="K30" s="105">
        <f>[55]Summary!$E$14</f>
        <v>0</v>
      </c>
      <c r="L30" s="105">
        <f>[55]Summary!$E$15</f>
        <v>0</v>
      </c>
      <c r="M30" s="105">
        <f>[55]Summary!$E$16</f>
        <v>0</v>
      </c>
      <c r="N30" s="105">
        <f>[55]Summary!$F$12</f>
        <v>0</v>
      </c>
      <c r="O30" s="105">
        <f>[55]Summary!$F$13</f>
        <v>7</v>
      </c>
      <c r="P30" s="105">
        <f>[55]Summary!$F$14</f>
        <v>0</v>
      </c>
      <c r="Q30" s="105">
        <f>[55]Summary!$F$15</f>
        <v>0</v>
      </c>
      <c r="R30" s="105">
        <f>[55]Summary!$F$16</f>
        <v>0</v>
      </c>
      <c r="S30" s="105">
        <f>[55]Summary!$G$12</f>
        <v>0</v>
      </c>
      <c r="T30" s="105">
        <f>[55]Summary!$G$13</f>
        <v>5</v>
      </c>
      <c r="U30" s="105">
        <f>[55]Summary!$G$14</f>
        <v>0</v>
      </c>
      <c r="V30" s="105">
        <f>[55]Summary!$G$15</f>
        <v>0</v>
      </c>
      <c r="W30" s="105">
        <f>[55]Summary!$G$16</f>
        <v>0</v>
      </c>
      <c r="X30" s="105">
        <f>[55]Summary!$D$20</f>
        <v>0</v>
      </c>
      <c r="Y30" s="105">
        <f>[55]Summary!$D$21</f>
        <v>0</v>
      </c>
      <c r="Z30" s="105">
        <f>[55]Summary!$D$22</f>
        <v>0</v>
      </c>
      <c r="AA30" s="105">
        <f>[55]Summary!$D$23</f>
        <v>0</v>
      </c>
      <c r="AB30" s="105">
        <f>[55]Summary!$D$24</f>
        <v>1</v>
      </c>
      <c r="AC30" s="105">
        <f>[55]Summary!$D$25</f>
        <v>0</v>
      </c>
      <c r="AD30" s="105">
        <f>[55]Summary!$D$26</f>
        <v>6</v>
      </c>
      <c r="AE30" s="105">
        <f>[55]Summary!$D$27</f>
        <v>0</v>
      </c>
      <c r="AF30" s="105">
        <f>[55]Summary!$D$28</f>
        <v>0</v>
      </c>
    </row>
    <row r="31" spans="2:32" s="102" customFormat="1" ht="12" x14ac:dyDescent="0.3">
      <c r="B31" s="105">
        <v>27</v>
      </c>
      <c r="C31" s="113" t="str">
        <f>[56]Summary!$B$7</f>
        <v>Test IO Mux</v>
      </c>
      <c r="D31" s="105">
        <f>[56]Summary!$D$12</f>
        <v>1</v>
      </c>
      <c r="E31" s="105">
        <f>[56]Summary!$D$13</f>
        <v>14</v>
      </c>
      <c r="F31" s="105">
        <f>[56]Summary!$D$14</f>
        <v>0</v>
      </c>
      <c r="G31" s="105">
        <f>[56]Summary!$D$15</f>
        <v>0</v>
      </c>
      <c r="H31" s="105">
        <f>[56]Summary!$D$16</f>
        <v>0</v>
      </c>
      <c r="I31" s="105">
        <f>[56]Summary!$E$12</f>
        <v>0</v>
      </c>
      <c r="J31" s="105">
        <f>[56]Summary!$E$13</f>
        <v>0</v>
      </c>
      <c r="K31" s="105">
        <f>[56]Summary!$E$14</f>
        <v>0</v>
      </c>
      <c r="L31" s="105">
        <f>[56]Summary!$E$15</f>
        <v>0</v>
      </c>
      <c r="M31" s="105">
        <f>[56]Summary!$E$16</f>
        <v>0</v>
      </c>
      <c r="N31" s="105">
        <f>[56]Summary!$F$12</f>
        <v>0</v>
      </c>
      <c r="O31" s="105">
        <f>[56]Summary!$F$13</f>
        <v>14</v>
      </c>
      <c r="P31" s="105">
        <f>[56]Summary!$F$14</f>
        <v>0</v>
      </c>
      <c r="Q31" s="105">
        <f>[56]Summary!$F$15</f>
        <v>0</v>
      </c>
      <c r="R31" s="105">
        <f>[56]Summary!$F$16</f>
        <v>0</v>
      </c>
      <c r="S31" s="105">
        <f>[56]Summary!$G$12</f>
        <v>0</v>
      </c>
      <c r="T31" s="105">
        <f>[56]Summary!$G$13</f>
        <v>6</v>
      </c>
      <c r="U31" s="105">
        <f>[56]Summary!$G$14</f>
        <v>0</v>
      </c>
      <c r="V31" s="105">
        <f>[56]Summary!$G$15</f>
        <v>0</v>
      </c>
      <c r="W31" s="105">
        <f>[56]Summary!$G$16</f>
        <v>0</v>
      </c>
      <c r="X31" s="105">
        <f>[56]Summary!$D$20</f>
        <v>1</v>
      </c>
      <c r="Y31" s="105">
        <f>[56]Summary!$D$21</f>
        <v>0</v>
      </c>
      <c r="Z31" s="105">
        <f>[56]Summary!$D$22</f>
        <v>14</v>
      </c>
      <c r="AA31" s="105">
        <f>[56]Summary!$D$23</f>
        <v>0</v>
      </c>
      <c r="AB31" s="105">
        <f>[56]Summary!$D$24</f>
        <v>0</v>
      </c>
      <c r="AC31" s="105">
        <f>[56]Summary!$D$25</f>
        <v>0</v>
      </c>
      <c r="AD31" s="105">
        <f>[56]Summary!$D$26</f>
        <v>0</v>
      </c>
      <c r="AE31" s="105">
        <f>[56]Summary!$D$27</f>
        <v>0</v>
      </c>
      <c r="AF31" s="105">
        <f>[56]Summary!$D$28</f>
        <v>0</v>
      </c>
    </row>
    <row r="32" spans="2:32" s="102" customFormat="1" ht="12" x14ac:dyDescent="0.3">
      <c r="B32" s="105">
        <v>28</v>
      </c>
      <c r="C32" s="113" t="str">
        <f>[57]Summary!$B$7</f>
        <v>eFuse Controller</v>
      </c>
      <c r="D32" s="105">
        <f>[57]Summary!$D$12</f>
        <v>6</v>
      </c>
      <c r="E32" s="105">
        <f>[57]Summary!$D$13</f>
        <v>1</v>
      </c>
      <c r="F32" s="105">
        <f>[57]Summary!$D$14</f>
        <v>2</v>
      </c>
      <c r="G32" s="105">
        <f>[57]Summary!$D$15</f>
        <v>0</v>
      </c>
      <c r="H32" s="105">
        <f>[57]Summary!$D$16</f>
        <v>0</v>
      </c>
      <c r="I32" s="105">
        <f>[57]Summary!$E$12</f>
        <v>3</v>
      </c>
      <c r="J32" s="105">
        <f>[57]Summary!$E$13</f>
        <v>0</v>
      </c>
      <c r="K32" s="105">
        <f>[57]Summary!$E$14</f>
        <v>1</v>
      </c>
      <c r="L32" s="105">
        <f>[57]Summary!$E$15</f>
        <v>0</v>
      </c>
      <c r="M32" s="105">
        <f>[57]Summary!$E$16</f>
        <v>0</v>
      </c>
      <c r="N32" s="105">
        <f>[57]Summary!$F$12</f>
        <v>3</v>
      </c>
      <c r="O32" s="105">
        <f>[57]Summary!$F$13</f>
        <v>0</v>
      </c>
      <c r="P32" s="105">
        <f>[57]Summary!$F$14</f>
        <v>0</v>
      </c>
      <c r="Q32" s="105">
        <f>[57]Summary!$F$15</f>
        <v>0</v>
      </c>
      <c r="R32" s="105">
        <f>[57]Summary!$F$16</f>
        <v>0</v>
      </c>
      <c r="S32" s="105">
        <f>[57]Summary!$G$12</f>
        <v>0</v>
      </c>
      <c r="T32" s="105">
        <f>[57]Summary!$G$13</f>
        <v>0</v>
      </c>
      <c r="U32" s="105">
        <f>[57]Summary!$G$14</f>
        <v>3</v>
      </c>
      <c r="V32" s="105">
        <f>[57]Summary!$G$15</f>
        <v>0</v>
      </c>
      <c r="W32" s="105">
        <f>[57]Summary!$G$16</f>
        <v>0</v>
      </c>
      <c r="X32" s="105">
        <f>[57]Summary!$D$20</f>
        <v>3</v>
      </c>
      <c r="Y32" s="105">
        <f>[57]Summary!$D$21</f>
        <v>0</v>
      </c>
      <c r="Z32" s="105">
        <f>[57]Summary!$D$22</f>
        <v>0</v>
      </c>
      <c r="AA32" s="105">
        <f>[57]Summary!$D$23</f>
        <v>1</v>
      </c>
      <c r="AB32" s="105">
        <f>[57]Summary!$D$24</f>
        <v>1</v>
      </c>
      <c r="AC32" s="105">
        <f>[57]Summary!$D$25</f>
        <v>2</v>
      </c>
      <c r="AD32" s="105">
        <f>[57]Summary!$D$26</f>
        <v>4</v>
      </c>
      <c r="AE32" s="105">
        <f>[57]Summary!$D$27</f>
        <v>0</v>
      </c>
      <c r="AF32" s="105">
        <f>[57]Summary!$D$28</f>
        <v>0</v>
      </c>
    </row>
    <row r="33" spans="2:32" s="102" customFormat="1" ht="12" x14ac:dyDescent="0.3">
      <c r="B33" s="105">
        <v>29</v>
      </c>
      <c r="C33" s="113" t="str">
        <f>[58]Summary!$B$7</f>
        <v>HW Bypass</v>
      </c>
      <c r="D33" s="105">
        <f>[58]Summary!$D$12</f>
        <v>0</v>
      </c>
      <c r="E33" s="105">
        <f>[58]Summary!$D$13</f>
        <v>48</v>
      </c>
      <c r="F33" s="105">
        <f>[58]Summary!$D$14</f>
        <v>0</v>
      </c>
      <c r="G33" s="105">
        <f>[58]Summary!$D$15</f>
        <v>0</v>
      </c>
      <c r="H33" s="105">
        <f>[58]Summary!$D$16</f>
        <v>0</v>
      </c>
      <c r="I33" s="105">
        <f>[58]Summary!$E$12</f>
        <v>0</v>
      </c>
      <c r="J33" s="105">
        <f>[58]Summary!$E$13</f>
        <v>0</v>
      </c>
      <c r="K33" s="105">
        <f>[58]Summary!$E$14</f>
        <v>0</v>
      </c>
      <c r="L33" s="105">
        <f>[58]Summary!$E$15</f>
        <v>0</v>
      </c>
      <c r="M33" s="105">
        <f>[58]Summary!$E$16</f>
        <v>0</v>
      </c>
      <c r="N33" s="105">
        <f>[58]Summary!$F$12</f>
        <v>0</v>
      </c>
      <c r="O33" s="105">
        <f>[58]Summary!$F$13</f>
        <v>16</v>
      </c>
      <c r="P33" s="105">
        <f>[58]Summary!$F$14</f>
        <v>0</v>
      </c>
      <c r="Q33" s="105">
        <f>[58]Summary!$F$15</f>
        <v>0</v>
      </c>
      <c r="R33" s="105">
        <f>[58]Summary!$F$16</f>
        <v>0</v>
      </c>
      <c r="S33" s="105">
        <f>[58]Summary!$G$12</f>
        <v>0</v>
      </c>
      <c r="T33" s="105">
        <f>[58]Summary!$G$13</f>
        <v>0</v>
      </c>
      <c r="U33" s="105">
        <f>[58]Summary!$G$14</f>
        <v>0</v>
      </c>
      <c r="V33" s="105">
        <f>[58]Summary!$G$15</f>
        <v>0</v>
      </c>
      <c r="W33" s="105">
        <f>[58]Summary!$G$16</f>
        <v>0</v>
      </c>
      <c r="X33" s="105">
        <f>[58]Summary!$D$20</f>
        <v>1</v>
      </c>
      <c r="Y33" s="105">
        <f>[58]Summary!$D$21</f>
        <v>0</v>
      </c>
      <c r="Z33" s="105">
        <f>[58]Summary!$D$22</f>
        <v>0</v>
      </c>
      <c r="AA33" s="105">
        <f>[58]Summary!$D$23</f>
        <v>0</v>
      </c>
      <c r="AB33" s="105">
        <f>[58]Summary!$D$24</f>
        <v>0</v>
      </c>
      <c r="AC33" s="105">
        <f>[58]Summary!$D$25</f>
        <v>32</v>
      </c>
      <c r="AD33" s="105">
        <f>[58]Summary!$D$26</f>
        <v>16</v>
      </c>
      <c r="AE33" s="105">
        <f>[58]Summary!$D$27</f>
        <v>0</v>
      </c>
      <c r="AF33" s="105">
        <f>[58]Summary!$D$28</f>
        <v>0</v>
      </c>
    </row>
    <row r="34" spans="2:32" s="102" customFormat="1" ht="12" x14ac:dyDescent="0.3">
      <c r="B34" s="105">
        <v>30</v>
      </c>
      <c r="C34" s="113" t="str">
        <f>[59]Summary!$B$7</f>
        <v>Analog IP</v>
      </c>
      <c r="D34" s="105">
        <f>[59]Summary!$D$12</f>
        <v>0</v>
      </c>
      <c r="E34" s="105">
        <f>[59]Summary!$D$13</f>
        <v>22</v>
      </c>
      <c r="F34" s="105">
        <f>[59]Summary!$D$14</f>
        <v>22</v>
      </c>
      <c r="G34" s="105">
        <f>[59]Summary!$D$15</f>
        <v>0</v>
      </c>
      <c r="H34" s="105">
        <f>[59]Summary!$D$16</f>
        <v>0</v>
      </c>
      <c r="I34" s="105">
        <f>[59]Summary!$E$12</f>
        <v>0</v>
      </c>
      <c r="J34" s="105">
        <f>[59]Summary!$E$13</f>
        <v>0</v>
      </c>
      <c r="K34" s="105">
        <f>[59]Summary!$E$14</f>
        <v>0</v>
      </c>
      <c r="L34" s="105">
        <f>[59]Summary!$E$15</f>
        <v>0</v>
      </c>
      <c r="M34" s="105">
        <f>[59]Summary!$E$16</f>
        <v>0</v>
      </c>
      <c r="N34" s="105">
        <f>[59]Summary!$F$12</f>
        <v>0</v>
      </c>
      <c r="O34" s="105">
        <f>[59]Summary!$F$13</f>
        <v>0</v>
      </c>
      <c r="P34" s="105">
        <f>[59]Summary!$F$14</f>
        <v>6</v>
      </c>
      <c r="Q34" s="105">
        <f>[59]Summary!$F$15</f>
        <v>0</v>
      </c>
      <c r="R34" s="105">
        <f>[59]Summary!$F$16</f>
        <v>0</v>
      </c>
      <c r="S34" s="105">
        <f>[59]Summary!$G$12</f>
        <v>0</v>
      </c>
      <c r="T34" s="105">
        <f>[59]Summary!$G$13</f>
        <v>0</v>
      </c>
      <c r="U34" s="105">
        <f>[59]Summary!$G$14</f>
        <v>0</v>
      </c>
      <c r="V34" s="105">
        <f>[59]Summary!$G$15</f>
        <v>0</v>
      </c>
      <c r="W34" s="105">
        <f>[59]Summary!$G$16</f>
        <v>0</v>
      </c>
      <c r="X34" s="105">
        <f>[59]Summary!$D$20</f>
        <v>0</v>
      </c>
      <c r="Y34" s="105">
        <f>[59]Summary!$D$21</f>
        <v>0</v>
      </c>
      <c r="Z34" s="105">
        <f>[59]Summary!$D$22</f>
        <v>0</v>
      </c>
      <c r="AA34" s="105">
        <f>[59]Summary!$D$23</f>
        <v>22</v>
      </c>
      <c r="AB34" s="105">
        <f>[59]Summary!$D$24</f>
        <v>0</v>
      </c>
      <c r="AC34" s="105">
        <f>[59]Summary!$D$25</f>
        <v>0</v>
      </c>
      <c r="AD34" s="105">
        <f>[59]Summary!$D$26</f>
        <v>22</v>
      </c>
      <c r="AE34" s="105">
        <f>[59]Summary!$D$27</f>
        <v>0</v>
      </c>
      <c r="AF34" s="105">
        <f>[59]Summary!$D$28</f>
        <v>0</v>
      </c>
    </row>
    <row r="35" spans="2:32" s="102" customFormat="1" ht="12" x14ac:dyDescent="0.3">
      <c r="B35" s="105">
        <v>31</v>
      </c>
      <c r="C35" s="113" t="str">
        <f>[60]Summary!$B$7</f>
        <v>Token Generator</v>
      </c>
      <c r="D35" s="105">
        <f>[60]Summary!$D$12</f>
        <v>3</v>
      </c>
      <c r="E35" s="105">
        <f>[60]Summary!$D$13</f>
        <v>5</v>
      </c>
      <c r="F35" s="105">
        <f>[60]Summary!$D$14</f>
        <v>0</v>
      </c>
      <c r="G35" s="105">
        <f>[60]Summary!$D$15</f>
        <v>0</v>
      </c>
      <c r="H35" s="105">
        <f>[60]Summary!$D$16</f>
        <v>0</v>
      </c>
      <c r="I35" s="105">
        <f>[60]Summary!$E$12</f>
        <v>0</v>
      </c>
      <c r="J35" s="105">
        <f>[60]Summary!$E$13</f>
        <v>0</v>
      </c>
      <c r="K35" s="105">
        <f>[60]Summary!$E$14</f>
        <v>0</v>
      </c>
      <c r="L35" s="105">
        <f>[60]Summary!$E$15</f>
        <v>0</v>
      </c>
      <c r="M35" s="105">
        <f>[60]Summary!$E$16</f>
        <v>0</v>
      </c>
      <c r="N35" s="105">
        <f>[60]Summary!$F$12</f>
        <v>0</v>
      </c>
      <c r="O35" s="105">
        <f>[60]Summary!$F$13</f>
        <v>0</v>
      </c>
      <c r="P35" s="105">
        <f>[60]Summary!$F$14</f>
        <v>0</v>
      </c>
      <c r="Q35" s="105">
        <f>[60]Summary!$F$15</f>
        <v>0</v>
      </c>
      <c r="R35" s="105">
        <f>[60]Summary!$F$16</f>
        <v>0</v>
      </c>
      <c r="S35" s="105">
        <f>[60]Summary!$G$12</f>
        <v>0</v>
      </c>
      <c r="T35" s="105">
        <f>[60]Summary!$G$13</f>
        <v>1</v>
      </c>
      <c r="U35" s="105">
        <f>[60]Summary!$G$14</f>
        <v>0</v>
      </c>
      <c r="V35" s="105">
        <f>[60]Summary!$G$15</f>
        <v>0</v>
      </c>
      <c r="W35" s="105">
        <f>[60]Summary!$G$16</f>
        <v>0</v>
      </c>
      <c r="X35" s="105">
        <f>[60]Summary!$D$20</f>
        <v>1</v>
      </c>
      <c r="Y35" s="105">
        <f>[60]Summary!$D$21</f>
        <v>0</v>
      </c>
      <c r="Z35" s="105">
        <f>[60]Summary!$D$22</f>
        <v>0</v>
      </c>
      <c r="AA35" s="105">
        <f>[60]Summary!$D$23</f>
        <v>0</v>
      </c>
      <c r="AB35" s="105">
        <f>[60]Summary!$D$24</f>
        <v>0</v>
      </c>
      <c r="AC35" s="105">
        <f>[60]Summary!$D$25</f>
        <v>7</v>
      </c>
      <c r="AD35" s="105">
        <f>[60]Summary!$D$26</f>
        <v>0</v>
      </c>
      <c r="AE35" s="105">
        <f>[60]Summary!$D$27</f>
        <v>0</v>
      </c>
      <c r="AF35" s="105">
        <f>[60]Summary!$D$28</f>
        <v>0</v>
      </c>
    </row>
    <row r="36" spans="2:32" s="102" customFormat="1" ht="12" x14ac:dyDescent="0.3">
      <c r="B36" s="105">
        <v>31</v>
      </c>
      <c r="C36" s="113" t="str">
        <f>[61]Summary!$B$7</f>
        <v>Host Interaction
(Sonic)</v>
      </c>
      <c r="D36" s="105">
        <f>[61]Summary!$D$12</f>
        <v>0</v>
      </c>
      <c r="E36" s="105">
        <f>[61]Summary!$D$13</f>
        <v>0</v>
      </c>
      <c r="F36" s="105">
        <f>[61]Summary!$D$14</f>
        <v>0</v>
      </c>
      <c r="G36" s="105">
        <f>[61]Summary!$D$15</f>
        <v>0</v>
      </c>
      <c r="H36" s="105">
        <f>[61]Summary!$D$16</f>
        <v>0</v>
      </c>
      <c r="I36" s="105">
        <f>[61]Summary!$E$12</f>
        <v>21</v>
      </c>
      <c r="J36" s="105">
        <f>[61]Summary!$E$13</f>
        <v>315</v>
      </c>
      <c r="K36" s="105">
        <f>[61]Summary!$E$14</f>
        <v>25</v>
      </c>
      <c r="L36" s="105">
        <f>[61]Summary!$E$15</f>
        <v>4</v>
      </c>
      <c r="M36" s="105">
        <f>[61]Summary!$E$16</f>
        <v>17</v>
      </c>
      <c r="N36" s="105">
        <f>[61]Summary!$F$12</f>
        <v>0</v>
      </c>
      <c r="O36" s="105">
        <f>[61]Summary!$F$13</f>
        <v>0</v>
      </c>
      <c r="P36" s="105">
        <f>[61]Summary!$F$14</f>
        <v>0</v>
      </c>
      <c r="Q36" s="105">
        <f>[61]Summary!$F$15</f>
        <v>0</v>
      </c>
      <c r="R36" s="105">
        <f>[61]Summary!$F$16</f>
        <v>0</v>
      </c>
      <c r="S36" s="105">
        <f>[61]Summary!$G$12</f>
        <v>20</v>
      </c>
      <c r="T36" s="105">
        <f>[61]Summary!$G$13</f>
        <v>312</v>
      </c>
      <c r="U36" s="105">
        <f>[61]Summary!$G$14</f>
        <v>35</v>
      </c>
      <c r="V36" s="105">
        <f>[61]Summary!$G$15</f>
        <v>5</v>
      </c>
      <c r="W36" s="105">
        <f>[61]Summary!$G$16</f>
        <v>18</v>
      </c>
      <c r="X36" s="105">
        <f>[61]Summary!$D$20</f>
        <v>10</v>
      </c>
      <c r="Y36" s="105">
        <f>[61]Summary!$D$21</f>
        <v>0</v>
      </c>
      <c r="Z36" s="105">
        <f>[61]Summary!$D$22</f>
        <v>0</v>
      </c>
      <c r="AA36" s="105">
        <f>[61]Summary!$D$23</f>
        <v>0</v>
      </c>
      <c r="AB36" s="105">
        <f>[61]Summary!$D$24</f>
        <v>0</v>
      </c>
      <c r="AC36" s="105">
        <f>[61]Summary!$D$25</f>
        <v>0</v>
      </c>
      <c r="AD36" s="105">
        <f>[61]Summary!$D$26</f>
        <v>0</v>
      </c>
      <c r="AE36" s="105">
        <f>[61]Summary!$D$27</f>
        <v>96</v>
      </c>
      <c r="AF36" s="105">
        <f>[61]Summary!$D$28</f>
        <v>2</v>
      </c>
    </row>
    <row r="37" spans="2:32" s="102" customFormat="1" ht="16.5" customHeight="1" x14ac:dyDescent="0.3">
      <c r="B37" s="309" t="s">
        <v>60</v>
      </c>
      <c r="C37" s="309"/>
      <c r="D37" s="118">
        <f t="shared" ref="D37:AF37" si="0">SUM(D5:D36)</f>
        <v>496</v>
      </c>
      <c r="E37" s="118">
        <f t="shared" si="0"/>
        <v>934</v>
      </c>
      <c r="F37" s="118">
        <f t="shared" si="0"/>
        <v>212</v>
      </c>
      <c r="G37" s="118">
        <f t="shared" si="0"/>
        <v>33</v>
      </c>
      <c r="H37" s="118">
        <f t="shared" si="0"/>
        <v>9</v>
      </c>
      <c r="I37" s="118">
        <f t="shared" si="0"/>
        <v>97</v>
      </c>
      <c r="J37" s="118">
        <f t="shared" si="0"/>
        <v>664</v>
      </c>
      <c r="K37" s="118">
        <f t="shared" si="0"/>
        <v>206</v>
      </c>
      <c r="L37" s="118">
        <f t="shared" si="0"/>
        <v>48</v>
      </c>
      <c r="M37" s="118">
        <f t="shared" si="0"/>
        <v>89</v>
      </c>
      <c r="N37" s="118">
        <f t="shared" si="0"/>
        <v>18</v>
      </c>
      <c r="O37" s="118">
        <f t="shared" si="0"/>
        <v>246</v>
      </c>
      <c r="P37" s="118">
        <f t="shared" si="0"/>
        <v>9</v>
      </c>
      <c r="Q37" s="118">
        <f t="shared" si="0"/>
        <v>0</v>
      </c>
      <c r="R37" s="118">
        <f t="shared" si="0"/>
        <v>0</v>
      </c>
      <c r="S37" s="118">
        <f t="shared" si="0"/>
        <v>65</v>
      </c>
      <c r="T37" s="118">
        <f t="shared" si="0"/>
        <v>675</v>
      </c>
      <c r="U37" s="118">
        <f t="shared" si="0"/>
        <v>183</v>
      </c>
      <c r="V37" s="118">
        <f t="shared" si="0"/>
        <v>34</v>
      </c>
      <c r="W37" s="118">
        <f t="shared" si="0"/>
        <v>20</v>
      </c>
      <c r="X37" s="118">
        <f t="shared" si="0"/>
        <v>43</v>
      </c>
      <c r="Y37" s="118">
        <f t="shared" si="0"/>
        <v>254</v>
      </c>
      <c r="Z37" s="118">
        <f t="shared" si="0"/>
        <v>387</v>
      </c>
      <c r="AA37" s="118">
        <f t="shared" si="0"/>
        <v>360</v>
      </c>
      <c r="AB37" s="118">
        <f t="shared" si="0"/>
        <v>195</v>
      </c>
      <c r="AC37" s="118">
        <f t="shared" si="0"/>
        <v>406</v>
      </c>
      <c r="AD37" s="118">
        <f t="shared" si="0"/>
        <v>105</v>
      </c>
      <c r="AE37" s="118">
        <f t="shared" si="0"/>
        <v>254</v>
      </c>
      <c r="AF37" s="118">
        <f t="shared" si="0"/>
        <v>29</v>
      </c>
    </row>
  </sheetData>
  <mergeCells count="9">
    <mergeCell ref="X2:AF3"/>
    <mergeCell ref="D3:H3"/>
    <mergeCell ref="I3:M3"/>
    <mergeCell ref="B37:C37"/>
    <mergeCell ref="C2:C4"/>
    <mergeCell ref="B2:B4"/>
    <mergeCell ref="N3:R3"/>
    <mergeCell ref="S3:W3"/>
    <mergeCell ref="D2:W2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0242" r:id="rId3">
          <objectPr defaultSize="0" autoPict="0" r:id="rId4">
            <anchor moveWithCells="1">
              <from>
                <xdr:col>32</xdr:col>
                <xdr:colOff>47625</xdr:colOff>
                <xdr:row>1</xdr:row>
                <xdr:rowOff>19050</xdr:rowOff>
              </from>
              <to>
                <xdr:col>33</xdr:col>
                <xdr:colOff>552450</xdr:colOff>
                <xdr:row>3</xdr:row>
                <xdr:rowOff>276225</xdr:rowOff>
              </to>
            </anchor>
          </objectPr>
        </oleObject>
      </mc:Choice>
      <mc:Fallback>
        <oleObject progId="Visio.Drawing.11" shapeId="10242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4" sqref="D1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G31" sqref="G3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E28"/>
  <sheetViews>
    <sheetView showGridLines="0" workbookViewId="0">
      <selection activeCell="J17" sqref="J17"/>
    </sheetView>
  </sheetViews>
  <sheetFormatPr defaultRowHeight="16.5" x14ac:dyDescent="0.3"/>
  <cols>
    <col min="3" max="3" width="9.875" bestFit="1" customWidth="1"/>
    <col min="4" max="4" width="61.875" customWidth="1"/>
  </cols>
  <sheetData>
    <row r="3" spans="2:5" ht="17.25" x14ac:dyDescent="0.3">
      <c r="B3" s="125" t="s">
        <v>62</v>
      </c>
    </row>
    <row r="4" spans="2:5" ht="9" customHeight="1" x14ac:dyDescent="0.3"/>
    <row r="5" spans="2:5" x14ac:dyDescent="0.3">
      <c r="B5" s="126" t="s">
        <v>63</v>
      </c>
      <c r="C5" s="127" t="s">
        <v>64</v>
      </c>
      <c r="D5" s="127" t="s">
        <v>65</v>
      </c>
      <c r="E5" s="128" t="s">
        <v>66</v>
      </c>
    </row>
    <row r="6" spans="2:5" x14ac:dyDescent="0.3">
      <c r="B6" s="129">
        <v>0.1</v>
      </c>
      <c r="C6" s="130">
        <v>41758</v>
      </c>
      <c r="D6" s="131" t="s">
        <v>67</v>
      </c>
      <c r="E6" s="132" t="s">
        <v>68</v>
      </c>
    </row>
    <row r="7" spans="2:5" x14ac:dyDescent="0.3">
      <c r="B7" s="129"/>
      <c r="C7" s="130"/>
      <c r="D7" s="131"/>
      <c r="E7" s="132"/>
    </row>
    <row r="8" spans="2:5" x14ac:dyDescent="0.3">
      <c r="B8" s="129"/>
      <c r="C8" s="130"/>
      <c r="D8" s="131"/>
      <c r="E8" s="132"/>
    </row>
    <row r="9" spans="2:5" x14ac:dyDescent="0.3">
      <c r="B9" s="129"/>
      <c r="C9" s="131"/>
      <c r="D9" s="131"/>
      <c r="E9" s="132"/>
    </row>
    <row r="10" spans="2:5" x14ac:dyDescent="0.3">
      <c r="B10" s="129"/>
      <c r="C10" s="131"/>
      <c r="D10" s="131"/>
      <c r="E10" s="132"/>
    </row>
    <row r="11" spans="2:5" x14ac:dyDescent="0.3">
      <c r="B11" s="129"/>
      <c r="C11" s="131"/>
      <c r="D11" s="131"/>
      <c r="E11" s="132"/>
    </row>
    <row r="12" spans="2:5" x14ac:dyDescent="0.3">
      <c r="B12" s="129"/>
      <c r="C12" s="131"/>
      <c r="D12" s="131"/>
      <c r="E12" s="132"/>
    </row>
    <row r="13" spans="2:5" x14ac:dyDescent="0.3">
      <c r="B13" s="129"/>
      <c r="C13" s="131"/>
      <c r="D13" s="131"/>
      <c r="E13" s="132"/>
    </row>
    <row r="14" spans="2:5" x14ac:dyDescent="0.3">
      <c r="B14" s="129"/>
      <c r="C14" s="131"/>
      <c r="D14" s="131"/>
      <c r="E14" s="132"/>
    </row>
    <row r="15" spans="2:5" x14ac:dyDescent="0.3">
      <c r="B15" s="129"/>
      <c r="C15" s="131"/>
      <c r="D15" s="131"/>
      <c r="E15" s="132"/>
    </row>
    <row r="16" spans="2:5" x14ac:dyDescent="0.3">
      <c r="B16" s="129"/>
      <c r="C16" s="131"/>
      <c r="D16" s="131"/>
      <c r="E16" s="132"/>
    </row>
    <row r="17" spans="2:5" x14ac:dyDescent="0.3">
      <c r="B17" s="129"/>
      <c r="C17" s="131"/>
      <c r="D17" s="131"/>
      <c r="E17" s="132"/>
    </row>
    <row r="18" spans="2:5" x14ac:dyDescent="0.3">
      <c r="B18" s="129"/>
      <c r="C18" s="131"/>
      <c r="D18" s="131"/>
      <c r="E18" s="132"/>
    </row>
    <row r="19" spans="2:5" x14ac:dyDescent="0.3">
      <c r="B19" s="129"/>
      <c r="C19" s="131"/>
      <c r="D19" s="131"/>
      <c r="E19" s="132"/>
    </row>
    <row r="20" spans="2:5" x14ac:dyDescent="0.3">
      <c r="B20" s="129"/>
      <c r="C20" s="131"/>
      <c r="D20" s="131"/>
      <c r="E20" s="132"/>
    </row>
    <row r="21" spans="2:5" x14ac:dyDescent="0.3">
      <c r="B21" s="129"/>
      <c r="C21" s="131"/>
      <c r="D21" s="131"/>
      <c r="E21" s="132"/>
    </row>
    <row r="22" spans="2:5" x14ac:dyDescent="0.3">
      <c r="B22" s="129"/>
      <c r="C22" s="131"/>
      <c r="D22" s="131"/>
      <c r="E22" s="132"/>
    </row>
    <row r="23" spans="2:5" x14ac:dyDescent="0.3">
      <c r="B23" s="129"/>
      <c r="C23" s="131"/>
      <c r="D23" s="131"/>
      <c r="E23" s="132"/>
    </row>
    <row r="24" spans="2:5" x14ac:dyDescent="0.3">
      <c r="B24" s="129"/>
      <c r="C24" s="131"/>
      <c r="D24" s="131"/>
      <c r="E24" s="132"/>
    </row>
    <row r="25" spans="2:5" x14ac:dyDescent="0.3">
      <c r="B25" s="129"/>
      <c r="C25" s="131"/>
      <c r="D25" s="131"/>
      <c r="E25" s="132"/>
    </row>
    <row r="26" spans="2:5" x14ac:dyDescent="0.3">
      <c r="B26" s="129"/>
      <c r="C26" s="131"/>
      <c r="D26" s="131"/>
      <c r="E26" s="132"/>
    </row>
    <row r="27" spans="2:5" x14ac:dyDescent="0.3">
      <c r="B27" s="133"/>
      <c r="C27" s="134"/>
      <c r="D27" s="134"/>
      <c r="E27" s="135"/>
    </row>
    <row r="28" spans="2:5" x14ac:dyDescent="0.3">
      <c r="B28" s="136"/>
      <c r="C28" s="137"/>
      <c r="D28" s="137"/>
      <c r="E28" s="138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6385" r:id="rId3">
          <objectPr defaultSize="0" autoPict="0" r:id="rId4">
            <anchor moveWithCells="1">
              <from>
                <xdr:col>5</xdr:col>
                <xdr:colOff>104775</xdr:colOff>
                <xdr:row>0</xdr:row>
                <xdr:rowOff>171450</xdr:rowOff>
              </from>
              <to>
                <xdr:col>6</xdr:col>
                <xdr:colOff>609600</xdr:colOff>
                <xdr:row>3</xdr:row>
                <xdr:rowOff>95250</xdr:rowOff>
              </to>
            </anchor>
          </objectPr>
        </oleObject>
      </mc:Choice>
      <mc:Fallback>
        <oleObject progId="Visio.Drawing.11" shapeId="16385" r:id="rId3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7"/>
  <sheetViews>
    <sheetView showGridLines="0" zoomScale="85" zoomScaleNormal="85" workbookViewId="0">
      <pane xSplit="5" topLeftCell="F1" activePane="topRight" state="frozen"/>
      <selection pane="topRight" activeCell="Z29" sqref="Z29"/>
    </sheetView>
  </sheetViews>
  <sheetFormatPr defaultRowHeight="16.5" x14ac:dyDescent="0.3"/>
  <cols>
    <col min="1" max="1" width="1.625" style="1" customWidth="1"/>
    <col min="2" max="2" width="5" style="1" customWidth="1"/>
    <col min="3" max="3" width="15.5" style="1" bestFit="1" customWidth="1"/>
    <col min="4" max="5" width="11.375" style="1" customWidth="1"/>
    <col min="6" max="6" width="6.75" style="1" bestFit="1" customWidth="1"/>
    <col min="7" max="7" width="6.5" style="1" bestFit="1" customWidth="1"/>
    <col min="8" max="8" width="9.375" style="1" customWidth="1"/>
    <col min="9" max="10" width="9.375" style="5" customWidth="1"/>
    <col min="11" max="11" width="6.375" style="5" customWidth="1"/>
    <col min="12" max="13" width="6.625" style="1" hidden="1" customWidth="1"/>
    <col min="14" max="14" width="9.375" style="1" hidden="1" customWidth="1"/>
    <col min="15" max="15" width="6.375" style="9" hidden="1" customWidth="1"/>
    <col min="16" max="16" width="6.75" style="1" bestFit="1" customWidth="1"/>
    <col min="17" max="17" width="5.875" style="1" bestFit="1" customWidth="1"/>
    <col min="18" max="18" width="9.375" style="1" customWidth="1"/>
    <col min="19" max="19" width="6.375" style="9" customWidth="1"/>
    <col min="20" max="21" width="8.625" style="9" customWidth="1"/>
    <col min="22" max="22" width="65.25" style="1" customWidth="1"/>
    <col min="23" max="16384" width="9" style="1"/>
  </cols>
  <sheetData>
    <row r="1" spans="2:22" ht="10.5" customHeight="1" x14ac:dyDescent="0.3"/>
    <row r="2" spans="2:22" s="2" customFormat="1" ht="26.25" x14ac:dyDescent="0.3">
      <c r="B2" s="380" t="s">
        <v>28</v>
      </c>
      <c r="C2" s="380"/>
      <c r="D2" s="380"/>
      <c r="E2" s="380"/>
      <c r="F2" s="380"/>
      <c r="G2" s="380"/>
      <c r="H2" s="380"/>
      <c r="I2" s="380"/>
      <c r="J2" s="6"/>
      <c r="K2" s="6"/>
      <c r="O2" s="10"/>
      <c r="S2" s="10"/>
      <c r="T2" s="10"/>
    </row>
    <row r="3" spans="2:22" s="2" customFormat="1" ht="14.25" customHeight="1" x14ac:dyDescent="0.3">
      <c r="B3" s="381" t="s">
        <v>70</v>
      </c>
      <c r="C3" s="381"/>
      <c r="D3" s="288">
        <v>41733</v>
      </c>
      <c r="E3" s="288"/>
      <c r="I3" s="6"/>
      <c r="J3" s="6"/>
      <c r="K3" s="6"/>
      <c r="O3" s="10"/>
      <c r="S3" s="10"/>
      <c r="T3" s="10"/>
      <c r="U3" s="37"/>
      <c r="V3" s="4"/>
    </row>
    <row r="4" spans="2:22" ht="8.1" customHeight="1" x14ac:dyDescent="0.3"/>
    <row r="5" spans="2:22" ht="16.5" customHeight="1" x14ac:dyDescent="0.3">
      <c r="B5" s="393" t="s">
        <v>1</v>
      </c>
      <c r="C5" s="393" t="s">
        <v>2</v>
      </c>
      <c r="D5" s="394" t="s">
        <v>16</v>
      </c>
      <c r="E5" s="394" t="s">
        <v>17</v>
      </c>
      <c r="F5" s="402" t="s">
        <v>3</v>
      </c>
      <c r="G5" s="403"/>
      <c r="H5" s="403"/>
      <c r="I5" s="403"/>
      <c r="J5" s="403"/>
      <c r="K5" s="403"/>
      <c r="L5" s="403"/>
      <c r="M5" s="403"/>
      <c r="N5" s="403"/>
      <c r="O5" s="404"/>
      <c r="P5" s="398" t="s">
        <v>4</v>
      </c>
      <c r="Q5" s="399"/>
      <c r="R5" s="399"/>
      <c r="S5" s="400"/>
      <c r="T5" s="405" t="s">
        <v>12</v>
      </c>
      <c r="U5" s="406"/>
      <c r="V5" s="390" t="s">
        <v>9</v>
      </c>
    </row>
    <row r="6" spans="2:22" x14ac:dyDescent="0.3">
      <c r="B6" s="393"/>
      <c r="C6" s="393"/>
      <c r="D6" s="393"/>
      <c r="E6" s="393"/>
      <c r="F6" s="395" t="s">
        <v>5</v>
      </c>
      <c r="G6" s="396"/>
      <c r="H6" s="396"/>
      <c r="I6" s="396"/>
      <c r="J6" s="396"/>
      <c r="K6" s="397"/>
      <c r="L6" s="395" t="s">
        <v>6</v>
      </c>
      <c r="M6" s="396"/>
      <c r="N6" s="396"/>
      <c r="O6" s="397"/>
      <c r="P6" s="395"/>
      <c r="Q6" s="396"/>
      <c r="R6" s="396"/>
      <c r="S6" s="401"/>
      <c r="T6" s="14" t="s">
        <v>13</v>
      </c>
      <c r="U6" s="14" t="s">
        <v>14</v>
      </c>
      <c r="V6" s="391"/>
    </row>
    <row r="7" spans="2:22" ht="33" customHeight="1" x14ac:dyDescent="0.3">
      <c r="B7" s="393"/>
      <c r="C7" s="393"/>
      <c r="D7" s="393"/>
      <c r="E7" s="402"/>
      <c r="F7" s="65" t="s">
        <v>0</v>
      </c>
      <c r="G7" s="72" t="s">
        <v>7</v>
      </c>
      <c r="H7" s="76" t="s">
        <v>8</v>
      </c>
      <c r="I7" s="77" t="s">
        <v>27</v>
      </c>
      <c r="J7" s="77" t="s">
        <v>26</v>
      </c>
      <c r="K7" s="77" t="s">
        <v>10</v>
      </c>
      <c r="L7" s="76" t="s">
        <v>0</v>
      </c>
      <c r="M7" s="76" t="s">
        <v>7</v>
      </c>
      <c r="N7" s="76" t="s">
        <v>8</v>
      </c>
      <c r="O7" s="77" t="s">
        <v>10</v>
      </c>
      <c r="P7" s="76" t="s">
        <v>0</v>
      </c>
      <c r="Q7" s="76" t="s">
        <v>7</v>
      </c>
      <c r="R7" s="76" t="s">
        <v>8</v>
      </c>
      <c r="S7" s="8" t="s">
        <v>10</v>
      </c>
      <c r="T7" s="14" t="s">
        <v>15</v>
      </c>
      <c r="U7" s="14" t="s">
        <v>35</v>
      </c>
      <c r="V7" s="392"/>
    </row>
    <row r="8" spans="2:22" x14ac:dyDescent="0.3">
      <c r="B8" s="18">
        <v>1</v>
      </c>
      <c r="C8" s="19" t="str">
        <f>[62]Result!$C$7</f>
        <v>ARC-EM4</v>
      </c>
      <c r="D8" s="19" t="str">
        <f>[62]Result!$D$7</f>
        <v>박재한 책임</v>
      </c>
      <c r="E8" s="53" t="str">
        <f>[62]Result!$E$7</f>
        <v>조성엽 책임</v>
      </c>
      <c r="F8" s="66">
        <f>[62]Result!$F$7</f>
        <v>19</v>
      </c>
      <c r="G8" s="62">
        <f>[62]Result!$G$7</f>
        <v>19</v>
      </c>
      <c r="H8" s="78">
        <f>[62]Result!$H$7</f>
        <v>1</v>
      </c>
      <c r="I8" s="78">
        <f>[62]Result!$I$7</f>
        <v>0.37</v>
      </c>
      <c r="J8" s="78" t="str">
        <f>[62]Result!$J$7</f>
        <v>N/A</v>
      </c>
      <c r="K8" s="79" t="str">
        <f>[62]Result!$K$7</f>
        <v>-</v>
      </c>
      <c r="L8" s="80">
        <f>[62]Result!$L$7</f>
        <v>0</v>
      </c>
      <c r="M8" s="81">
        <f>[62]Result!$M$7</f>
        <v>0</v>
      </c>
      <c r="N8" s="78" t="str">
        <f>[62]Result!$N$7</f>
        <v>-</v>
      </c>
      <c r="O8" s="79" t="str">
        <f>[62]Result!$O$7</f>
        <v>-</v>
      </c>
      <c r="P8" s="80">
        <f>[62]Result!$P$7</f>
        <v>25</v>
      </c>
      <c r="Q8" s="80">
        <f>[62]Result!$Q$7</f>
        <v>23</v>
      </c>
      <c r="R8" s="78">
        <f>[62]Result!$R$7</f>
        <v>0.92</v>
      </c>
      <c r="S8" s="57" t="str">
        <f>[62]Result!$S$7</f>
        <v>-</v>
      </c>
      <c r="T8" s="20" t="str">
        <f>[62]Result!$S$2</f>
        <v>REV01</v>
      </c>
      <c r="U8" s="20"/>
      <c r="V8" s="21" t="str">
        <f>[62]Result!$T$7</f>
        <v xml:space="preserve">RTL:
POST:
FPGA: </v>
      </c>
    </row>
    <row r="9" spans="2:22" x14ac:dyDescent="0.3">
      <c r="B9" s="25">
        <v>2</v>
      </c>
      <c r="C9" s="26" t="str">
        <f>[63]Result!$C$7</f>
        <v>NFC</v>
      </c>
      <c r="D9" s="26" t="str">
        <f>[63]Result!$D$7</f>
        <v>김재우 책임</v>
      </c>
      <c r="E9" s="54" t="str">
        <f>[63]Result!$E$7</f>
        <v>윤동준 선임</v>
      </c>
      <c r="F9" s="67">
        <f>[63]Result!$F$7</f>
        <v>242</v>
      </c>
      <c r="G9" s="63">
        <f>[63]Result!$G$7</f>
        <v>242</v>
      </c>
      <c r="H9" s="82">
        <f>[63]Result!$H$7</f>
        <v>1</v>
      </c>
      <c r="I9" s="82" t="str">
        <f>[63]Result!$I$7</f>
        <v>N/A</v>
      </c>
      <c r="J9" s="82">
        <f>[63]Result!$J$7</f>
        <v>0.98</v>
      </c>
      <c r="K9" s="83" t="str">
        <f>[63]Result!$K$7</f>
        <v>-</v>
      </c>
      <c r="L9" s="84">
        <f>[63]Result!$L$7</f>
        <v>0</v>
      </c>
      <c r="M9" s="85">
        <f>[63]Result!$M$7</f>
        <v>0</v>
      </c>
      <c r="N9" s="82" t="str">
        <f>[63]Result!$N$7</f>
        <v>-</v>
      </c>
      <c r="O9" s="83" t="str">
        <f>[63]Result!$O$7</f>
        <v>-</v>
      </c>
      <c r="P9" s="84">
        <f>[63]Result!$P$7</f>
        <v>130</v>
      </c>
      <c r="Q9" s="84">
        <f>[63]Result!$Q$7</f>
        <v>126</v>
      </c>
      <c r="R9" s="82">
        <f>[63]Result!$R$7</f>
        <v>0.96923076923076923</v>
      </c>
      <c r="S9" s="58" t="str">
        <f>[63]Result!$S$7</f>
        <v>-</v>
      </c>
      <c r="T9" s="27" t="str">
        <f>[63]Result!$S$2</f>
        <v>REV01</v>
      </c>
      <c r="U9" s="27" t="str">
        <f>[63]Result!$S$3</f>
        <v>XXXX</v>
      </c>
      <c r="V9" s="28" t="str">
        <f>[63]Result!$T$7</f>
        <v xml:space="preserve">RTL: Line coverage report(use tool : VCS)
 - F2/F3 coverage의 경우 F0/F1 coverage에서 이미 모든 경우가 반영 되어 있으므로 추출 의미가 없음
POST:
FPGA: </v>
      </c>
    </row>
    <row r="10" spans="2:22" x14ac:dyDescent="0.3">
      <c r="B10" s="18">
        <v>3</v>
      </c>
      <c r="C10" s="23" t="str">
        <f>[64]Result!$C$7</f>
        <v>ECC</v>
      </c>
      <c r="D10" s="23" t="str">
        <f>[64]Result!$D$7</f>
        <v>김주희 선임</v>
      </c>
      <c r="E10" s="55" t="str">
        <f>[64]Result!$E$7</f>
        <v>조성근 선임</v>
      </c>
      <c r="F10" s="68">
        <f>[64]Result!$F$7</f>
        <v>51</v>
      </c>
      <c r="G10" s="64">
        <f>[64]Result!$G$7</f>
        <v>51</v>
      </c>
      <c r="H10" s="78">
        <f>[64]Result!$H$7</f>
        <v>1</v>
      </c>
      <c r="I10" s="78" t="str">
        <f>[64]Result!$I$7</f>
        <v>N/A</v>
      </c>
      <c r="J10" s="78">
        <f>[64]Result!$J$7</f>
        <v>0.9</v>
      </c>
      <c r="K10" s="79" t="str">
        <f>[64]Result!$K$7</f>
        <v>-</v>
      </c>
      <c r="L10" s="80">
        <f>[64]Result!$L$7</f>
        <v>0</v>
      </c>
      <c r="M10" s="81">
        <f>[64]Result!$M$7</f>
        <v>0</v>
      </c>
      <c r="N10" s="78" t="str">
        <f>[64]Result!$N$7</f>
        <v>-</v>
      </c>
      <c r="O10" s="79" t="str">
        <f>[64]Result!$O$7</f>
        <v>-</v>
      </c>
      <c r="P10" s="80" t="str">
        <f>[64]Result!$P$7</f>
        <v>N/A</v>
      </c>
      <c r="Q10" s="80" t="str">
        <f>[64]Result!$Q$7</f>
        <v>N/A</v>
      </c>
      <c r="R10" s="78" t="str">
        <f>[64]Result!$R$7</f>
        <v>N/A</v>
      </c>
      <c r="S10" s="59" t="str">
        <f>[64]Result!$S$7</f>
        <v>-</v>
      </c>
      <c r="T10" s="24" t="str">
        <f>[64]Result!$S$2</f>
        <v>REV01</v>
      </c>
      <c r="U10" s="24" t="str">
        <f>[64]Result!$S$3</f>
        <v>XXXX</v>
      </c>
      <c r="V10" s="22" t="str">
        <f>[64]Result!$T$7</f>
        <v>RTL: VCS line coverage 결과
POST: NFC에 포함
FPGA: NFC에 포함</v>
      </c>
    </row>
    <row r="11" spans="2:22" x14ac:dyDescent="0.3">
      <c r="B11" s="25">
        <v>4</v>
      </c>
      <c r="C11" s="29" t="str">
        <f>[65]Result!$C$7</f>
        <v>CDE</v>
      </c>
      <c r="D11" s="29" t="str">
        <f>[65]Result!$D$7</f>
        <v>이학대 책임</v>
      </c>
      <c r="E11" s="56" t="str">
        <f>[65]Result!$E$7</f>
        <v>윤동준 선임</v>
      </c>
      <c r="F11" s="69">
        <f>[65]Result!$F$7</f>
        <v>26</v>
      </c>
      <c r="G11" s="25">
        <f>[65]Result!$G$7</f>
        <v>26</v>
      </c>
      <c r="H11" s="82">
        <f>[65]Result!$H$7</f>
        <v>1</v>
      </c>
      <c r="I11" s="82">
        <f>[65]Result!$I$7</f>
        <v>0.99</v>
      </c>
      <c r="J11" s="82">
        <f>[65]Result!$J$7</f>
        <v>0.99</v>
      </c>
      <c r="K11" s="83" t="str">
        <f>[65]Result!$K$7</f>
        <v>-</v>
      </c>
      <c r="L11" s="84">
        <f>[65]Result!$L$7</f>
        <v>0</v>
      </c>
      <c r="M11" s="85">
        <f>[65]Result!$M$7</f>
        <v>0</v>
      </c>
      <c r="N11" s="82" t="str">
        <f>[65]Result!$N$7</f>
        <v>-</v>
      </c>
      <c r="O11" s="83" t="str">
        <f>[65]Result!$O$7</f>
        <v>-</v>
      </c>
      <c r="P11" s="84">
        <f>[65]Result!$P$7</f>
        <v>25</v>
      </c>
      <c r="Q11" s="84">
        <f>[65]Result!$Q$7</f>
        <v>25</v>
      </c>
      <c r="R11" s="82">
        <f>[65]Result!$R$7</f>
        <v>1</v>
      </c>
      <c r="S11" s="60" t="str">
        <f>[65]Result!$S$7</f>
        <v>-</v>
      </c>
      <c r="T11" s="30" t="str">
        <f>[65]Result!$S$2</f>
        <v>REV01</v>
      </c>
      <c r="U11" s="30" t="str">
        <f>[65]Result!$S$3</f>
        <v>d040</v>
      </c>
      <c r="V11" s="28" t="str">
        <f>[65]Result!$T$7</f>
        <v xml:space="preserve">RTL:
POST:
FPGA: </v>
      </c>
    </row>
    <row r="12" spans="2:22" x14ac:dyDescent="0.3">
      <c r="B12" s="18">
        <v>5</v>
      </c>
      <c r="C12" s="23" t="str">
        <f>[66]Result!$C$7</f>
        <v>Boost Engine</v>
      </c>
      <c r="D12" s="23" t="str">
        <f>[66]Result!$D$7</f>
        <v>조성근 선임</v>
      </c>
      <c r="E12" s="55" t="str">
        <f>[66]Result!$E$7</f>
        <v>조성근 선임</v>
      </c>
      <c r="F12" s="68">
        <f>[66]Result!$F$7</f>
        <v>8</v>
      </c>
      <c r="G12" s="64">
        <f>[66]Result!$G$7</f>
        <v>8</v>
      </c>
      <c r="H12" s="78">
        <f>[66]Result!$H$7</f>
        <v>1</v>
      </c>
      <c r="I12" s="78">
        <f>[66]Result!$I$7</f>
        <v>0.83</v>
      </c>
      <c r="J12" s="78">
        <f>[66]Result!$J$7</f>
        <v>0.97</v>
      </c>
      <c r="K12" s="79" t="str">
        <f>[66]Result!$K$7</f>
        <v>-</v>
      </c>
      <c r="L12" s="80">
        <f>[66]Result!$L$7</f>
        <v>0</v>
      </c>
      <c r="M12" s="81">
        <f>[66]Result!$M$7</f>
        <v>0</v>
      </c>
      <c r="N12" s="78" t="str">
        <f>[66]Result!$N$7</f>
        <v>-</v>
      </c>
      <c r="O12" s="79" t="str">
        <f>[66]Result!$O$7</f>
        <v>-</v>
      </c>
      <c r="P12" s="80">
        <f>[66]Result!$P$7</f>
        <v>4</v>
      </c>
      <c r="Q12" s="80">
        <f>[66]Result!$Q$7</f>
        <v>4</v>
      </c>
      <c r="R12" s="78">
        <f>[66]Result!$R$7</f>
        <v>1</v>
      </c>
      <c r="S12" s="59" t="str">
        <f>[66]Result!$S$7</f>
        <v>-</v>
      </c>
      <c r="T12" s="24" t="str">
        <f>[66]Result!$S$2</f>
        <v>REV01</v>
      </c>
      <c r="U12" s="24" t="str">
        <f>[66]Result!$S$3</f>
        <v>XXXX</v>
      </c>
      <c r="V12" s="22" t="str">
        <f>[66]Result!$T$7</f>
        <v xml:space="preserve">RTL:
POST:
FPGA: </v>
      </c>
    </row>
    <row r="13" spans="2:22" x14ac:dyDescent="0.3">
      <c r="B13" s="25">
        <v>6</v>
      </c>
      <c r="C13" s="29" t="str">
        <f>[67]Result!$C$7</f>
        <v>UFS</v>
      </c>
      <c r="D13" s="29" t="str">
        <f>[67]Result!$D$7</f>
        <v>박재우 선임</v>
      </c>
      <c r="E13" s="56" t="str">
        <f>[67]Result!$E$7</f>
        <v>조성엽 책임</v>
      </c>
      <c r="F13" s="69">
        <f>[67]Result!$F$7</f>
        <v>212</v>
      </c>
      <c r="G13" s="25">
        <f>[67]Result!$G$7</f>
        <v>207</v>
      </c>
      <c r="H13" s="82">
        <f>[67]Result!$H$7</f>
        <v>0.97641509433962259</v>
      </c>
      <c r="I13" s="82">
        <f>[67]Result!$I$7</f>
        <v>0.73</v>
      </c>
      <c r="J13" s="82">
        <f>[67]Result!$J$7</f>
        <v>0.73</v>
      </c>
      <c r="K13" s="83" t="str">
        <f>[67]Result!$K$7</f>
        <v>-</v>
      </c>
      <c r="L13" s="84">
        <f>[67]Result!$L$7</f>
        <v>0</v>
      </c>
      <c r="M13" s="85">
        <f>[67]Result!$M$7</f>
        <v>0</v>
      </c>
      <c r="N13" s="82" t="str">
        <f>[67]Result!$N$7</f>
        <v>-</v>
      </c>
      <c r="O13" s="83" t="str">
        <f>[67]Result!$O$7</f>
        <v>-</v>
      </c>
      <c r="P13" s="84">
        <f>[67]Result!$P$7</f>
        <v>43</v>
      </c>
      <c r="Q13" s="84">
        <f>[67]Result!$Q$7</f>
        <v>26</v>
      </c>
      <c r="R13" s="82">
        <f>[67]Result!$R$7</f>
        <v>0.60465116279069764</v>
      </c>
      <c r="S13" s="60" t="str">
        <f>[67]Result!$S$7</f>
        <v>-</v>
      </c>
      <c r="T13" s="30" t="str">
        <f>[67]Result!$S$2</f>
        <v>REV01</v>
      </c>
      <c r="U13" s="30" t="str">
        <f>[67]Result!$S$3</f>
        <v>XXXX</v>
      </c>
      <c r="V13" s="28" t="str">
        <f>[67]Result!$T$7</f>
        <v xml:space="preserve">RTL: 현재 Design 수정 중이기에 code merge 불가
       따라서 현재 coverage는 단일 random constaint simulation code coverage 결과
       1/24 design 완료 후 1/28내에 all test pass 된 coverage 공유 예정
POST:
FPGA: </v>
      </c>
    </row>
    <row r="14" spans="2:22" x14ac:dyDescent="0.3">
      <c r="B14" s="18">
        <v>7</v>
      </c>
      <c r="C14" s="23" t="str">
        <f>[68]Result!$C$7</f>
        <v>AES-UFS</v>
      </c>
      <c r="D14" s="23" t="str">
        <f>[68]Result!$D$7</f>
        <v>박재한 책임</v>
      </c>
      <c r="E14" s="55" t="str">
        <f>[68]Result!$E$7</f>
        <v>조성엽 책임</v>
      </c>
      <c r="F14" s="68">
        <f>[68]Result!$F$7</f>
        <v>34</v>
      </c>
      <c r="G14" s="64">
        <f>[68]Result!$G$7</f>
        <v>34</v>
      </c>
      <c r="H14" s="78">
        <f>[68]Result!$H$7</f>
        <v>1</v>
      </c>
      <c r="I14" s="78">
        <f>[68]Result!$I$7</f>
        <v>0.95</v>
      </c>
      <c r="J14" s="78">
        <f>[68]Result!$J$7</f>
        <v>0.95</v>
      </c>
      <c r="K14" s="79" t="str">
        <f>[68]Result!$K$7</f>
        <v>-</v>
      </c>
      <c r="L14" s="80">
        <f>[68]Result!$L$7</f>
        <v>0</v>
      </c>
      <c r="M14" s="81">
        <f>[68]Result!$M$7</f>
        <v>0</v>
      </c>
      <c r="N14" s="78" t="str">
        <f>[68]Result!$N$7</f>
        <v>-</v>
      </c>
      <c r="O14" s="79" t="str">
        <f>[68]Result!$O$7</f>
        <v>-</v>
      </c>
      <c r="P14" s="80">
        <f>[68]Result!$P$7</f>
        <v>82</v>
      </c>
      <c r="Q14" s="80">
        <f>[68]Result!$Q$7</f>
        <v>81</v>
      </c>
      <c r="R14" s="78">
        <f>[68]Result!$R$7</f>
        <v>0.98780487804878048</v>
      </c>
      <c r="S14" s="59" t="str">
        <f>[68]Result!$S$7</f>
        <v>-</v>
      </c>
      <c r="T14" s="24" t="str">
        <f>[68]Result!$S$2</f>
        <v>REV01</v>
      </c>
      <c r="U14" s="24" t="str">
        <f>[68]Result!$S$3</f>
        <v>XXXX</v>
      </c>
      <c r="V14" s="22" t="str">
        <f>[68]Result!$T$7</f>
        <v xml:space="preserve">RTL:
POST:
FPGA: </v>
      </c>
    </row>
    <row r="15" spans="2:22" x14ac:dyDescent="0.3">
      <c r="B15" s="25">
        <v>8</v>
      </c>
      <c r="C15" s="29" t="str">
        <f>[69]Result!$C$7</f>
        <v>AES-LB</v>
      </c>
      <c r="D15" s="29" t="str">
        <f>[69]Result!$D$7</f>
        <v>이현주 선임</v>
      </c>
      <c r="E15" s="56" t="str">
        <f>[69]Result!$E$7</f>
        <v>이현주 선임</v>
      </c>
      <c r="F15" s="69">
        <f>[69]Result!$F$7</f>
        <v>37</v>
      </c>
      <c r="G15" s="25">
        <f>[69]Result!$G$7</f>
        <v>37</v>
      </c>
      <c r="H15" s="82">
        <f>[69]Result!$H$7</f>
        <v>1</v>
      </c>
      <c r="I15" s="82">
        <f>[69]Result!$I$7</f>
        <v>0.96</v>
      </c>
      <c r="J15" s="82">
        <f>[69]Result!$J$7</f>
        <v>0.96</v>
      </c>
      <c r="K15" s="83" t="str">
        <f>[69]Result!$K$7</f>
        <v>-</v>
      </c>
      <c r="L15" s="84">
        <f>[69]Result!$L$7</f>
        <v>0</v>
      </c>
      <c r="M15" s="85">
        <f>[69]Result!$M$7</f>
        <v>0</v>
      </c>
      <c r="N15" s="82" t="str">
        <f>[69]Result!$N$7</f>
        <v>-</v>
      </c>
      <c r="O15" s="83" t="str">
        <f>[69]Result!$O$7</f>
        <v>-</v>
      </c>
      <c r="P15" s="84">
        <f>[69]Result!$P$7</f>
        <v>30</v>
      </c>
      <c r="Q15" s="84">
        <f>[69]Result!$Q$7</f>
        <v>30</v>
      </c>
      <c r="R15" s="82">
        <f>[69]Result!$R$7</f>
        <v>1</v>
      </c>
      <c r="S15" s="60" t="str">
        <f>[69]Result!$S$7</f>
        <v>-</v>
      </c>
      <c r="T15" s="30" t="str">
        <f>[69]Result!$S$2</f>
        <v>REV01</v>
      </c>
      <c r="U15" s="30" t="str">
        <f>[69]Result!$S$3</f>
        <v>d040</v>
      </c>
      <c r="V15" s="28" t="str">
        <f>[69]Result!$T$7</f>
        <v>RTL:
POST:
FPGA: F3에서 ISR을 수행하여 F1과 merge한 결과임</v>
      </c>
    </row>
    <row r="16" spans="2:22" x14ac:dyDescent="0.3">
      <c r="B16" s="18">
        <v>9</v>
      </c>
      <c r="C16" s="23" t="str">
        <f>[70]Result!$C$7</f>
        <v>MACC</v>
      </c>
      <c r="D16" s="23" t="str">
        <f>[70]Result!$D$7</f>
        <v>안병욱 선임</v>
      </c>
      <c r="E16" s="55" t="str">
        <f>[70]Result!$E$7</f>
        <v>이현주 선임</v>
      </c>
      <c r="F16" s="68">
        <f>[70]Result!$F$7</f>
        <v>33</v>
      </c>
      <c r="G16" s="64">
        <f>[70]Result!$G$7</f>
        <v>33</v>
      </c>
      <c r="H16" s="78">
        <f>[70]Result!$H$7</f>
        <v>1</v>
      </c>
      <c r="I16" s="78">
        <f>[70]Result!$I$7</f>
        <v>0.92910000000000004</v>
      </c>
      <c r="J16" s="78">
        <f>[70]Result!$J$7</f>
        <v>0.92</v>
      </c>
      <c r="K16" s="79" t="str">
        <f>[70]Result!$K$7</f>
        <v>-</v>
      </c>
      <c r="L16" s="80">
        <f>[70]Result!$L$7</f>
        <v>0</v>
      </c>
      <c r="M16" s="81">
        <f>[70]Result!$M$7</f>
        <v>0</v>
      </c>
      <c r="N16" s="78" t="str">
        <f>[70]Result!$N$7</f>
        <v>-</v>
      </c>
      <c r="O16" s="79" t="str">
        <f>[70]Result!$O$7</f>
        <v>-</v>
      </c>
      <c r="P16" s="80">
        <f>[70]Result!$P$7</f>
        <v>25</v>
      </c>
      <c r="Q16" s="80">
        <f>[70]Result!$Q$7</f>
        <v>25</v>
      </c>
      <c r="R16" s="78">
        <f>[70]Result!$R$7</f>
        <v>1</v>
      </c>
      <c r="S16" s="59" t="str">
        <f>[70]Result!$S$7</f>
        <v>-</v>
      </c>
      <c r="T16" s="24" t="str">
        <f>[70]Result!$S$2</f>
        <v>REV01</v>
      </c>
      <c r="U16" s="24" t="str">
        <f>[70]Result!$S$3</f>
        <v>D052</v>
      </c>
      <c r="V16" s="22" t="str">
        <f>[70]Result!$T$7</f>
        <v xml:space="preserve">RTL: 
POST: 
FPGA: </v>
      </c>
    </row>
    <row r="17" spans="1:22" x14ac:dyDescent="0.3">
      <c r="B17" s="25">
        <v>10</v>
      </c>
      <c r="C17" s="29" t="str">
        <f>[71]Result!$C$7</f>
        <v>Backbone</v>
      </c>
      <c r="D17" s="29" t="str">
        <f>[71]Result!$D$7</f>
        <v>이학대 책임</v>
      </c>
      <c r="E17" s="56" t="str">
        <f>[71]Result!$E$7</f>
        <v>이학대 책임</v>
      </c>
      <c r="F17" s="69">
        <f>[71]Result!$F$7</f>
        <v>5</v>
      </c>
      <c r="G17" s="25">
        <f>[71]Result!$G$7</f>
        <v>5</v>
      </c>
      <c r="H17" s="82">
        <f>[71]Result!$H$7</f>
        <v>1</v>
      </c>
      <c r="I17" s="82">
        <f>[71]Result!$I$7</f>
        <v>0.92530000000000001</v>
      </c>
      <c r="J17" s="82">
        <f>[71]Result!$J$7</f>
        <v>0.92530000000000001</v>
      </c>
      <c r="K17" s="83" t="str">
        <f>[71]Result!$K$7</f>
        <v>-</v>
      </c>
      <c r="L17" s="84">
        <f>[71]Result!$L$7</f>
        <v>0</v>
      </c>
      <c r="M17" s="85">
        <f>[71]Result!$M$7</f>
        <v>0</v>
      </c>
      <c r="N17" s="82" t="str">
        <f>[71]Result!$N$7</f>
        <v>-</v>
      </c>
      <c r="O17" s="83" t="str">
        <f>[71]Result!$O$7</f>
        <v>-</v>
      </c>
      <c r="P17" s="84" t="str">
        <f>[71]Result!$P$7</f>
        <v>N/A</v>
      </c>
      <c r="Q17" s="84" t="str">
        <f>[71]Result!$Q$7</f>
        <v>N/A</v>
      </c>
      <c r="R17" s="82" t="str">
        <f>[71]Result!$R$7</f>
        <v>N/A</v>
      </c>
      <c r="S17" s="60" t="str">
        <f>[71]Result!$S$7</f>
        <v>-</v>
      </c>
      <c r="T17" s="30" t="str">
        <f>[71]Result!$S$2</f>
        <v>REV01</v>
      </c>
      <c r="U17" s="30" t="str">
        <f>[71]Result!$S$3</f>
        <v>d040</v>
      </c>
      <c r="V17" s="28" t="str">
        <f>[71]Result!$T$7</f>
        <v>RTL:
POST:
FPGA: Master/Slave IP들의 동작검증으로 대체함</v>
      </c>
    </row>
    <row r="18" spans="1:22" x14ac:dyDescent="0.3">
      <c r="B18" s="18">
        <v>11</v>
      </c>
      <c r="C18" s="23" t="str">
        <f>[72]Result!$C$7</f>
        <v>Buffer Manager</v>
      </c>
      <c r="D18" s="23" t="str">
        <f>[72]Result!$D$7</f>
        <v>송광종 책임</v>
      </c>
      <c r="E18" s="55" t="str">
        <f>[72]Result!$E$7</f>
        <v>조성엽 책임</v>
      </c>
      <c r="F18" s="68">
        <f>[72]Result!$F$7</f>
        <v>48</v>
      </c>
      <c r="G18" s="64">
        <f>[72]Result!$G$7</f>
        <v>48</v>
      </c>
      <c r="H18" s="78">
        <f>[72]Result!$H$7</f>
        <v>1</v>
      </c>
      <c r="I18" s="78">
        <f>[72]Result!$I$7</f>
        <v>0.96350000000000002</v>
      </c>
      <c r="J18" s="78">
        <f>[72]Result!$J$7</f>
        <v>0.96350000000000002</v>
      </c>
      <c r="K18" s="79" t="str">
        <f>[72]Result!$K$7</f>
        <v>-</v>
      </c>
      <c r="L18" s="80">
        <f>[72]Result!$L$7</f>
        <v>0</v>
      </c>
      <c r="M18" s="81">
        <f>[72]Result!$M$7</f>
        <v>0</v>
      </c>
      <c r="N18" s="78" t="str">
        <f>[72]Result!$N$7</f>
        <v>-</v>
      </c>
      <c r="O18" s="79" t="str">
        <f>[72]Result!$O$7</f>
        <v>-</v>
      </c>
      <c r="P18" s="80">
        <f>[72]Result!$P$7</f>
        <v>22</v>
      </c>
      <c r="Q18" s="80">
        <f>[72]Result!$Q$7</f>
        <v>22</v>
      </c>
      <c r="R18" s="78">
        <f>[72]Result!$R$7</f>
        <v>1</v>
      </c>
      <c r="S18" s="59" t="str">
        <f>[72]Result!$S$7</f>
        <v>-</v>
      </c>
      <c r="T18" s="24" t="str">
        <f>[72]Result!$S$2</f>
        <v>REV01</v>
      </c>
      <c r="U18" s="24" t="str">
        <f>[72]Result!$S$3</f>
        <v>d076</v>
      </c>
      <c r="V18" s="22" t="str">
        <f>[72]Result!$T$7</f>
        <v xml:space="preserve">RTL:
POST:
FPGA: </v>
      </c>
    </row>
    <row r="19" spans="1:22" s="33" customFormat="1" x14ac:dyDescent="0.3">
      <c r="B19" s="34">
        <v>12</v>
      </c>
      <c r="C19" s="35" t="str">
        <f>[73]Result!$C$7</f>
        <v>System Memory</v>
      </c>
      <c r="D19" s="35" t="str">
        <f>[73]Result!$D$7</f>
        <v>박승진 책임</v>
      </c>
      <c r="E19" s="34" t="str">
        <f>[73]Result!$E$7</f>
        <v>박승진 책임</v>
      </c>
      <c r="F19" s="70">
        <f>[73]Result!$F$7</f>
        <v>41</v>
      </c>
      <c r="G19" s="34">
        <f>[73]Result!$G$7</f>
        <v>41</v>
      </c>
      <c r="H19" s="86">
        <f>[73]Result!$H$7</f>
        <v>1</v>
      </c>
      <c r="I19" s="86">
        <f>[73]Result!$I$7</f>
        <v>0.97</v>
      </c>
      <c r="J19" s="86">
        <f>[73]Result!$J$7</f>
        <v>0.97</v>
      </c>
      <c r="K19" s="87" t="str">
        <f>[73]Result!$K$7</f>
        <v>-</v>
      </c>
      <c r="L19" s="88">
        <f>[73]Result!$L$7</f>
        <v>0</v>
      </c>
      <c r="M19" s="89">
        <f>[73]Result!$M$7</f>
        <v>0</v>
      </c>
      <c r="N19" s="86" t="str">
        <f>[73]Result!$N$7</f>
        <v>-</v>
      </c>
      <c r="O19" s="87" t="str">
        <f>[73]Result!$O$7</f>
        <v>-</v>
      </c>
      <c r="P19" s="88">
        <f>[73]Result!$P$7</f>
        <v>3</v>
      </c>
      <c r="Q19" s="88">
        <f>[73]Result!$Q$7</f>
        <v>3</v>
      </c>
      <c r="R19" s="86">
        <f>[73]Result!$R$7</f>
        <v>1</v>
      </c>
      <c r="S19" s="61" t="str">
        <f>[73]Result!$S$7</f>
        <v>-</v>
      </c>
      <c r="T19" s="52" t="str">
        <f>[73]Result!$S$2</f>
        <v>REV01</v>
      </c>
      <c r="U19" s="52" t="str">
        <f>[73]Result!$S$3</f>
        <v>XXXX</v>
      </c>
      <c r="V19" s="36" t="str">
        <f>[73]Result!$T$7</f>
        <v>RTL:
POST:
FPGA: Unipro/NFC/AMP/BM test에서 사용 되므로, CPU가 full range를 byte/half-word/word 단위로 SCAN 하는 테스트만 진행 하기로 결정 됨</v>
      </c>
    </row>
    <row r="20" spans="1:22" x14ac:dyDescent="0.3">
      <c r="B20" s="18">
        <v>13</v>
      </c>
      <c r="C20" s="23" t="str">
        <f>[74]Result!$C$7</f>
        <v>Data Buffer</v>
      </c>
      <c r="D20" s="23" t="str">
        <f>[74]Result!$D$7</f>
        <v>박승진 책임</v>
      </c>
      <c r="E20" s="55" t="str">
        <f>[74]Result!$E$7</f>
        <v>박승진 책임</v>
      </c>
      <c r="F20" s="68">
        <f>[74]Result!$F$7</f>
        <v>42</v>
      </c>
      <c r="G20" s="64">
        <f>[74]Result!$G$7</f>
        <v>42</v>
      </c>
      <c r="H20" s="78">
        <f>[74]Result!$H$7</f>
        <v>1</v>
      </c>
      <c r="I20" s="78">
        <f>[74]Result!$I$7</f>
        <v>0.97</v>
      </c>
      <c r="J20" s="78">
        <f>[74]Result!$J$7</f>
        <v>0.97</v>
      </c>
      <c r="K20" s="79" t="str">
        <f>[74]Result!$K$7</f>
        <v>-</v>
      </c>
      <c r="L20" s="80">
        <f>[74]Result!$L$7</f>
        <v>0</v>
      </c>
      <c r="M20" s="81">
        <f>[74]Result!$M$7</f>
        <v>0</v>
      </c>
      <c r="N20" s="78" t="str">
        <f>[74]Result!$N$7</f>
        <v>-</v>
      </c>
      <c r="O20" s="79" t="str">
        <f>[74]Result!$O$7</f>
        <v>-</v>
      </c>
      <c r="P20" s="80">
        <f>[74]Result!$P$7</f>
        <v>3</v>
      </c>
      <c r="Q20" s="80">
        <f>[74]Result!$Q$7</f>
        <v>3</v>
      </c>
      <c r="R20" s="78">
        <f>[74]Result!$R$7</f>
        <v>1</v>
      </c>
      <c r="S20" s="59" t="str">
        <f>[74]Result!$S$7</f>
        <v>-</v>
      </c>
      <c r="T20" s="24" t="str">
        <f>[74]Result!$S$2</f>
        <v>REV01</v>
      </c>
      <c r="U20" s="24" t="str">
        <f>[74]Result!$S$3</f>
        <v>XXXX</v>
      </c>
      <c r="V20" s="22" t="str">
        <f>[74]Result!$T$7</f>
        <v>RTL:
POST:
FPGA: Unipro/NFC/AMP test에서 사용되기 때문에, CPU가 full range를 byte/half-word/word 단위로 scan 하는 테스트만 진행 하기로 결정 됨</v>
      </c>
    </row>
    <row r="21" spans="1:22" x14ac:dyDescent="0.3">
      <c r="B21" s="25">
        <v>14</v>
      </c>
      <c r="C21" s="29" t="str">
        <f>[75]Result!$C$7</f>
        <v>AMP</v>
      </c>
      <c r="D21" s="29" t="str">
        <f>[75]Result!$D$7</f>
        <v>박승진 책임</v>
      </c>
      <c r="E21" s="56" t="str">
        <f>[75]Result!$E$7</f>
        <v>정재형 책임</v>
      </c>
      <c r="F21" s="69">
        <f>[75]Result!$F$7</f>
        <v>68</v>
      </c>
      <c r="G21" s="25">
        <f>[75]Result!$G$7</f>
        <v>68</v>
      </c>
      <c r="H21" s="82">
        <f>[75]Result!$H$7</f>
        <v>1</v>
      </c>
      <c r="I21" s="82">
        <f>[75]Result!$I$7</f>
        <v>0.98</v>
      </c>
      <c r="J21" s="82">
        <f>[75]Result!$J$7</f>
        <v>0.98</v>
      </c>
      <c r="K21" s="83" t="str">
        <f>[75]Result!$K$7</f>
        <v>-</v>
      </c>
      <c r="L21" s="84">
        <f>[75]Result!$L$7</f>
        <v>0</v>
      </c>
      <c r="M21" s="85">
        <f>[75]Result!$M$7</f>
        <v>0</v>
      </c>
      <c r="N21" s="82" t="str">
        <f>[75]Result!$N$7</f>
        <v>-</v>
      </c>
      <c r="O21" s="83" t="str">
        <f>[75]Result!$O$7</f>
        <v>-</v>
      </c>
      <c r="P21" s="84">
        <f>[75]Result!$P$7</f>
        <v>68</v>
      </c>
      <c r="Q21" s="84">
        <f>[75]Result!$Q$7</f>
        <v>68</v>
      </c>
      <c r="R21" s="82">
        <f>[75]Result!$R$7</f>
        <v>1</v>
      </c>
      <c r="S21" s="60" t="str">
        <f>[75]Result!$S$7</f>
        <v>-</v>
      </c>
      <c r="T21" s="30" t="str">
        <f>[75]Result!$S$2</f>
        <v>REV01</v>
      </c>
      <c r="U21" s="30" t="str">
        <f>[75]Result!$S$3</f>
        <v>XXXX</v>
      </c>
      <c r="V21" s="28" t="str">
        <f>[75]Result!$T$7</f>
        <v xml:space="preserve">RTL:
POST:
FPGA: </v>
      </c>
    </row>
    <row r="22" spans="1:22" x14ac:dyDescent="0.3">
      <c r="B22" s="18">
        <v>15</v>
      </c>
      <c r="C22" s="23" t="str">
        <f>[76]Result!$C$7</f>
        <v>MTSE</v>
      </c>
      <c r="D22" s="23" t="str">
        <f>[76]Result!$D$7</f>
        <v>송광종 책임</v>
      </c>
      <c r="E22" s="55" t="str">
        <f>[76]Result!$E$7</f>
        <v>이현주 선임</v>
      </c>
      <c r="F22" s="68">
        <f>[76]Result!$F$7</f>
        <v>49</v>
      </c>
      <c r="G22" s="64">
        <f>[76]Result!$G$7</f>
        <v>49</v>
      </c>
      <c r="H22" s="78">
        <f>[76]Result!$H$7</f>
        <v>1</v>
      </c>
      <c r="I22" s="78">
        <f>[76]Result!$I$7</f>
        <v>0.997</v>
      </c>
      <c r="J22" s="78">
        <f>[76]Result!$J$7</f>
        <v>0.997</v>
      </c>
      <c r="K22" s="79" t="str">
        <f>[76]Result!$K$7</f>
        <v>-</v>
      </c>
      <c r="L22" s="80">
        <f>[76]Result!$L$7</f>
        <v>0</v>
      </c>
      <c r="M22" s="81">
        <f>[76]Result!$M$7</f>
        <v>0</v>
      </c>
      <c r="N22" s="78" t="str">
        <f>[76]Result!$N$7</f>
        <v>-</v>
      </c>
      <c r="O22" s="79" t="str">
        <f>[76]Result!$O$7</f>
        <v>-</v>
      </c>
      <c r="P22" s="80">
        <f>[76]Result!$P$7</f>
        <v>41</v>
      </c>
      <c r="Q22" s="80">
        <f>[76]Result!$Q$7</f>
        <v>41</v>
      </c>
      <c r="R22" s="78">
        <f>[76]Result!$R$7</f>
        <v>1</v>
      </c>
      <c r="S22" s="59" t="str">
        <f>[76]Result!$S$7</f>
        <v>-</v>
      </c>
      <c r="T22" s="24" t="str">
        <f>[76]Result!$S$2</f>
        <v>REV01</v>
      </c>
      <c r="U22" s="24" t="str">
        <f>[76]Result!$S$3</f>
        <v>d053</v>
      </c>
      <c r="V22" s="22" t="str">
        <f>[76]Result!$T$7</f>
        <v xml:space="preserve">RTL:
POST:
FPGA: </v>
      </c>
    </row>
    <row r="23" spans="1:22" x14ac:dyDescent="0.3">
      <c r="B23" s="25">
        <v>16</v>
      </c>
      <c r="C23" s="29" t="e">
        <f>#REF!</f>
        <v>#REF!</v>
      </c>
      <c r="D23" s="29" t="e">
        <f>#REF!</f>
        <v>#REF!</v>
      </c>
      <c r="E23" s="56" t="e">
        <f>#REF!</f>
        <v>#REF!</v>
      </c>
      <c r="F23" s="69" t="e">
        <f>#REF!</f>
        <v>#REF!</v>
      </c>
      <c r="G23" s="25" t="e">
        <f>#REF!</f>
        <v>#REF!</v>
      </c>
      <c r="H23" s="82" t="e">
        <f>#REF!</f>
        <v>#REF!</v>
      </c>
      <c r="I23" s="82" t="e">
        <f>#REF!</f>
        <v>#REF!</v>
      </c>
      <c r="J23" s="82" t="e">
        <f>#REF!</f>
        <v>#REF!</v>
      </c>
      <c r="K23" s="83" t="e">
        <f>#REF!</f>
        <v>#REF!</v>
      </c>
      <c r="L23" s="84" t="e">
        <f>#REF!</f>
        <v>#REF!</v>
      </c>
      <c r="M23" s="85" t="e">
        <f>#REF!</f>
        <v>#REF!</v>
      </c>
      <c r="N23" s="82" t="e">
        <f>#REF!</f>
        <v>#REF!</v>
      </c>
      <c r="O23" s="83" t="e">
        <f>#REF!</f>
        <v>#REF!</v>
      </c>
      <c r="P23" s="84" t="e">
        <f>#REF!</f>
        <v>#REF!</v>
      </c>
      <c r="Q23" s="84" t="e">
        <f>#REF!</f>
        <v>#REF!</v>
      </c>
      <c r="R23" s="82" t="e">
        <f>#REF!</f>
        <v>#REF!</v>
      </c>
      <c r="S23" s="60" t="e">
        <f>#REF!</f>
        <v>#REF!</v>
      </c>
      <c r="T23" s="30" t="e">
        <f>#REF!</f>
        <v>#REF!</v>
      </c>
      <c r="U23" s="30" t="e">
        <f>#REF!</f>
        <v>#REF!</v>
      </c>
      <c r="V23" s="28" t="e">
        <f>#REF!</f>
        <v>#REF!</v>
      </c>
    </row>
    <row r="24" spans="1:22" x14ac:dyDescent="0.3">
      <c r="B24" s="18">
        <v>17</v>
      </c>
      <c r="C24" s="23" t="str">
        <f>[77]Result!$C$7</f>
        <v>Timer</v>
      </c>
      <c r="D24" s="23" t="str">
        <f>[77]Result!$D$7</f>
        <v>이종용 선임</v>
      </c>
      <c r="E24" s="55" t="str">
        <f>[77]Result!$E$7</f>
        <v>윤동준 선임</v>
      </c>
      <c r="F24" s="68">
        <f>[77]Result!$F$7</f>
        <v>15</v>
      </c>
      <c r="G24" s="64">
        <f>[77]Result!$G$7</f>
        <v>15</v>
      </c>
      <c r="H24" s="78">
        <f>[77]Result!$H$7</f>
        <v>1</v>
      </c>
      <c r="I24" s="78">
        <f>[77]Result!$I$7</f>
        <v>0.93769999999999998</v>
      </c>
      <c r="J24" s="78">
        <f>[77]Result!$J$7</f>
        <v>0.86899999999999999</v>
      </c>
      <c r="K24" s="79" t="str">
        <f>[77]Result!$K$7</f>
        <v>-</v>
      </c>
      <c r="L24" s="80">
        <f>[77]Result!$L$7</f>
        <v>2</v>
      </c>
      <c r="M24" s="81" t="e">
        <f>[77]Result!$M$7</f>
        <v>#REF!</v>
      </c>
      <c r="N24" s="78" t="e">
        <f>[77]Result!$N$7</f>
        <v>#REF!</v>
      </c>
      <c r="O24" s="79" t="str">
        <f>[77]Result!$O$7</f>
        <v>-</v>
      </c>
      <c r="P24" s="80">
        <f>[77]Result!$P$7</f>
        <v>15</v>
      </c>
      <c r="Q24" s="80">
        <f>[77]Result!$Q$7</f>
        <v>15</v>
      </c>
      <c r="R24" s="78">
        <f>[77]Result!$R$7</f>
        <v>1</v>
      </c>
      <c r="S24" s="59" t="str">
        <f>[77]Result!$S$7</f>
        <v>-</v>
      </c>
      <c r="T24" s="24" t="str">
        <f>[77]Result!$S$2</f>
        <v>REV01</v>
      </c>
      <c r="U24" s="24" t="str">
        <f>[77]Result!$S$3</f>
        <v>XXXX</v>
      </c>
      <c r="V24" s="22" t="str">
        <f>[77]Result!$T$7</f>
        <v xml:space="preserve">RTL:
POST:
FPGA: </v>
      </c>
    </row>
    <row r="25" spans="1:22" x14ac:dyDescent="0.3">
      <c r="A25" s="3"/>
      <c r="B25" s="25">
        <v>18</v>
      </c>
      <c r="C25" s="29" t="str">
        <f>[78]Result!$C$7</f>
        <v>UART</v>
      </c>
      <c r="D25" s="29" t="str">
        <f>[78]Result!$D$7</f>
        <v>이종용 선임</v>
      </c>
      <c r="E25" s="56" t="str">
        <f>[78]Result!$E$7</f>
        <v>윤동준 선임</v>
      </c>
      <c r="F25" s="69">
        <f>[78]Result!$F$7</f>
        <v>27</v>
      </c>
      <c r="G25" s="25">
        <f>[78]Result!$G$7</f>
        <v>27</v>
      </c>
      <c r="H25" s="82">
        <f>[78]Result!$H$7</f>
        <v>1</v>
      </c>
      <c r="I25" s="82" t="str">
        <f>[78]Result!$I$7</f>
        <v>N/A</v>
      </c>
      <c r="J25" s="82" t="str">
        <f>[78]Result!$J$7</f>
        <v>N/A</v>
      </c>
      <c r="K25" s="83" t="str">
        <f>[78]Result!$K$7</f>
        <v>-</v>
      </c>
      <c r="L25" s="84">
        <f>[78]Result!$L$7</f>
        <v>1</v>
      </c>
      <c r="M25" s="85" t="e">
        <f>[78]Result!$M$7</f>
        <v>#REF!</v>
      </c>
      <c r="N25" s="82" t="e">
        <f>[78]Result!$N$7</f>
        <v>#REF!</v>
      </c>
      <c r="O25" s="83" t="str">
        <f>[78]Result!$O$7</f>
        <v>-</v>
      </c>
      <c r="P25" s="84">
        <f>[78]Result!$P$7</f>
        <v>24</v>
      </c>
      <c r="Q25" s="84">
        <f>[78]Result!$Q$7</f>
        <v>24</v>
      </c>
      <c r="R25" s="82">
        <f>[78]Result!$R$7</f>
        <v>1</v>
      </c>
      <c r="S25" s="60" t="str">
        <f>[78]Result!$S$7</f>
        <v>-</v>
      </c>
      <c r="T25" s="30" t="str">
        <f>[78]Result!$S$2</f>
        <v>REV01</v>
      </c>
      <c r="U25" s="30" t="str">
        <f>[78]Result!$S$3</f>
        <v>XXXX</v>
      </c>
      <c r="V25" s="28" t="str">
        <f>[78]Result!$T$7</f>
        <v xml:space="preserve">RTL: 도입 IP 로 netlist model 이기에 RTL coverage 측정이 realistic 하지 않음.  </v>
      </c>
    </row>
    <row r="26" spans="1:22" x14ac:dyDescent="0.3">
      <c r="B26" s="18">
        <v>19</v>
      </c>
      <c r="C26" s="23" t="str">
        <f>[79]Result!$C$7</f>
        <v>GPIO</v>
      </c>
      <c r="D26" s="23" t="str">
        <f>[79]Result!$D$7</f>
        <v>이종용 선임</v>
      </c>
      <c r="E26" s="55" t="str">
        <f>[79]Result!$E$7</f>
        <v>조성엽 책임</v>
      </c>
      <c r="F26" s="68">
        <f>[79]Result!$F$7</f>
        <v>14</v>
      </c>
      <c r="G26" s="64">
        <f>[79]Result!$G$7</f>
        <v>14</v>
      </c>
      <c r="H26" s="78">
        <f>[79]Result!$H$7</f>
        <v>1</v>
      </c>
      <c r="I26" s="78" t="str">
        <f>[79]Result!$I$7</f>
        <v>N/A</v>
      </c>
      <c r="J26" s="78" t="str">
        <f>[79]Result!$J$7</f>
        <v>N/A</v>
      </c>
      <c r="K26" s="79" t="str">
        <f>[79]Result!$K$7</f>
        <v>-</v>
      </c>
      <c r="L26" s="80">
        <f>[79]Result!$L$7</f>
        <v>1</v>
      </c>
      <c r="M26" s="81" t="e">
        <f>[79]Result!$M$7</f>
        <v>#REF!</v>
      </c>
      <c r="N26" s="78" t="e">
        <f>[79]Result!$N$7</f>
        <v>#REF!</v>
      </c>
      <c r="O26" s="79" t="str">
        <f>[79]Result!$O$7</f>
        <v>-</v>
      </c>
      <c r="P26" s="80">
        <f>[79]Result!$P$7</f>
        <v>15</v>
      </c>
      <c r="Q26" s="80" t="e">
        <f>[79]Result!$Q$7</f>
        <v>#REF!</v>
      </c>
      <c r="R26" s="78" t="e">
        <f>[79]Result!$R$7</f>
        <v>#REF!</v>
      </c>
      <c r="S26" s="59" t="str">
        <f>[79]Result!$S$7</f>
        <v>-</v>
      </c>
      <c r="T26" s="24" t="str">
        <f>[79]Result!$S$2</f>
        <v>REV01</v>
      </c>
      <c r="U26" s="24" t="str">
        <f>[79]Result!$S$3</f>
        <v>XXXX</v>
      </c>
      <c r="V26" s="22" t="str">
        <f>[79]Result!$T$7</f>
        <v xml:space="preserve">RTL: 도입 IP로 netlist model이기에 RTL coverage 측정이 realistic 하지 않음. </v>
      </c>
    </row>
    <row r="27" spans="1:22" x14ac:dyDescent="0.3">
      <c r="B27" s="25">
        <v>20</v>
      </c>
      <c r="C27" s="29" t="str">
        <f>[80]Result!$C$7</f>
        <v>System Register</v>
      </c>
      <c r="D27" s="29" t="str">
        <f>[80]Result!$D$7</f>
        <v>지미옥 책임</v>
      </c>
      <c r="E27" s="56" t="str">
        <f>[80]Result!$E$7</f>
        <v>지미옥 책임</v>
      </c>
      <c r="F27" s="69">
        <f>[80]Result!$F$7</f>
        <v>84</v>
      </c>
      <c r="G27" s="25">
        <f>[80]Result!$G$7</f>
        <v>84</v>
      </c>
      <c r="H27" s="82">
        <f>[80]Result!$H$7</f>
        <v>1</v>
      </c>
      <c r="I27" s="82">
        <f>[80]Result!$I$7</f>
        <v>0.82</v>
      </c>
      <c r="J27" s="82">
        <f>[80]Result!$J$7</f>
        <v>0.8</v>
      </c>
      <c r="K27" s="83" t="str">
        <f>[80]Result!$K$7</f>
        <v>-</v>
      </c>
      <c r="L27" s="84">
        <f>[80]Result!$L$7</f>
        <v>0</v>
      </c>
      <c r="M27" s="85">
        <f>[80]Result!$M$7</f>
        <v>0</v>
      </c>
      <c r="N27" s="82" t="str">
        <f>[80]Result!$N$7</f>
        <v>-</v>
      </c>
      <c r="O27" s="83" t="str">
        <f>[80]Result!$O$7</f>
        <v>-</v>
      </c>
      <c r="P27" s="84">
        <f>[80]Result!$P$7</f>
        <v>7</v>
      </c>
      <c r="Q27" s="84">
        <f>[80]Result!$Q$7</f>
        <v>6</v>
      </c>
      <c r="R27" s="82">
        <f>[80]Result!$R$7</f>
        <v>0.8571428571428571</v>
      </c>
      <c r="S27" s="60" t="str">
        <f>[80]Result!$S$7</f>
        <v>-</v>
      </c>
      <c r="T27" s="30" t="str">
        <f>[80]Result!$S$2</f>
        <v>REV01</v>
      </c>
      <c r="U27" s="30" t="str">
        <f>[80]Result!$S$3</f>
        <v>XXXX</v>
      </c>
      <c r="V27" s="28" t="str">
        <f>[80]Result!$T$7</f>
        <v>RTL: control register 들로 이루어져, coverage 가 낮음.
POST:
FPGA: Register Read Write test 만 가능</v>
      </c>
    </row>
    <row r="28" spans="1:22" x14ac:dyDescent="0.3">
      <c r="B28" s="18">
        <v>21</v>
      </c>
      <c r="C28" s="23" t="str">
        <f>[81]Result!$C$7</f>
        <v>PMU</v>
      </c>
      <c r="D28" s="23" t="str">
        <f>[81]Result!$D$7</f>
        <v>지미옥 책임</v>
      </c>
      <c r="E28" s="55" t="str">
        <f>[81]Result!$E$7</f>
        <v>정재형 책임</v>
      </c>
      <c r="F28" s="68">
        <f>[81]Result!$F$7</f>
        <v>94</v>
      </c>
      <c r="G28" s="64">
        <f>[81]Result!$G$7</f>
        <v>77</v>
      </c>
      <c r="H28" s="78">
        <f>[81]Result!$H$7</f>
        <v>0.81914893617021278</v>
      </c>
      <c r="I28" s="78">
        <f>[81]Result!$I$7</f>
        <v>0.92</v>
      </c>
      <c r="J28" s="78">
        <f>[81]Result!$J$7</f>
        <v>0.91</v>
      </c>
      <c r="K28" s="79" t="str">
        <f>[81]Result!$K$7</f>
        <v>-</v>
      </c>
      <c r="L28" s="80">
        <f>[81]Result!$L$7</f>
        <v>0</v>
      </c>
      <c r="M28" s="81">
        <f>[81]Result!$M$7</f>
        <v>0</v>
      </c>
      <c r="N28" s="78" t="str">
        <f>[81]Result!$N$7</f>
        <v>-</v>
      </c>
      <c r="O28" s="79" t="str">
        <f>[81]Result!$O$7</f>
        <v>-</v>
      </c>
      <c r="P28" s="80">
        <f>[81]Result!$P$7</f>
        <v>48</v>
      </c>
      <c r="Q28" s="80">
        <f>[81]Result!$Q$7</f>
        <v>25</v>
      </c>
      <c r="R28" s="78">
        <f>[81]Result!$R$7</f>
        <v>0.52083333333333337</v>
      </c>
      <c r="S28" s="59" t="str">
        <f>[81]Result!$S$7</f>
        <v>-</v>
      </c>
      <c r="T28" s="24" t="str">
        <f>[81]Result!$S$2</f>
        <v>REV01</v>
      </c>
      <c r="U28" s="24" t="str">
        <f>[81]Result!$S$3</f>
        <v>dd79</v>
      </c>
      <c r="V28" s="22" t="str">
        <f>[81]Result!$T$7</f>
        <v xml:space="preserve">RTL: F3 진행 중.
POST:
FPGA: </v>
      </c>
    </row>
    <row r="29" spans="1:22" x14ac:dyDescent="0.3">
      <c r="B29" s="25">
        <v>22</v>
      </c>
      <c r="C29" s="29" t="str">
        <f>[82]Result!$C$7</f>
        <v>Clock Con</v>
      </c>
      <c r="D29" s="29" t="str">
        <f>[82]Result!$D$7</f>
        <v>지미옥 책임</v>
      </c>
      <c r="E29" s="56" t="str">
        <f>[82]Result!$E$7</f>
        <v>지미옥 책임</v>
      </c>
      <c r="F29" s="69">
        <f>[82]Result!$F$7</f>
        <v>11</v>
      </c>
      <c r="G29" s="25">
        <f>[82]Result!$G$7</f>
        <v>11</v>
      </c>
      <c r="H29" s="82">
        <f>[82]Result!$H$7</f>
        <v>1</v>
      </c>
      <c r="I29" s="82">
        <f>[82]Result!$I$7</f>
        <v>0.91</v>
      </c>
      <c r="J29" s="82">
        <f>[82]Result!$J$7</f>
        <v>0.91</v>
      </c>
      <c r="K29" s="83" t="str">
        <f>[82]Result!$K$7</f>
        <v>-</v>
      </c>
      <c r="L29" s="84">
        <f>[82]Result!$L$7</f>
        <v>0</v>
      </c>
      <c r="M29" s="85">
        <f>[82]Result!$M$7</f>
        <v>0</v>
      </c>
      <c r="N29" s="82" t="str">
        <f>[82]Result!$N$7</f>
        <v>-</v>
      </c>
      <c r="O29" s="83" t="str">
        <f>[82]Result!$O$7</f>
        <v>-</v>
      </c>
      <c r="P29" s="84" t="str">
        <f>[82]Result!$P$7</f>
        <v>N/A</v>
      </c>
      <c r="Q29" s="84" t="str">
        <f>[82]Result!$Q$7</f>
        <v>N/A</v>
      </c>
      <c r="R29" s="82" t="str">
        <f>[82]Result!$R$7</f>
        <v>N/A</v>
      </c>
      <c r="S29" s="60" t="str">
        <f>[82]Result!$S$7</f>
        <v>-</v>
      </c>
      <c r="T29" s="30" t="str">
        <f>[82]Result!$S$2</f>
        <v>REV01</v>
      </c>
      <c r="U29" s="30" t="str">
        <f>[82]Result!$S$3</f>
        <v>XXXX</v>
      </c>
      <c r="V29" s="28" t="str">
        <f>[82]Result!$T$7</f>
        <v>RTL:
POST:
FPGA: test 불가능</v>
      </c>
    </row>
    <row r="30" spans="1:22" x14ac:dyDescent="0.3">
      <c r="B30" s="18">
        <v>23</v>
      </c>
      <c r="C30" s="23" t="str">
        <f>[83]Result!$C$7</f>
        <v>Reset Con</v>
      </c>
      <c r="D30" s="23" t="str">
        <f>[83]Result!$D$7</f>
        <v>지미옥 책임</v>
      </c>
      <c r="E30" s="55" t="str">
        <f>[83]Result!$E$7</f>
        <v>지미옥 책임</v>
      </c>
      <c r="F30" s="68">
        <f>[83]Result!$F$7</f>
        <v>14</v>
      </c>
      <c r="G30" s="64">
        <f>[83]Result!$G$7</f>
        <v>14</v>
      </c>
      <c r="H30" s="78">
        <f>[83]Result!$H$7</f>
        <v>1</v>
      </c>
      <c r="I30" s="78">
        <f>[83]Result!$I$7</f>
        <v>0.83</v>
      </c>
      <c r="J30" s="78">
        <f>[83]Result!$J$7</f>
        <v>0.81</v>
      </c>
      <c r="K30" s="79" t="str">
        <f>[83]Result!$K$7</f>
        <v>-</v>
      </c>
      <c r="L30" s="80">
        <f>[83]Result!$L$7</f>
        <v>0</v>
      </c>
      <c r="M30" s="81">
        <f>[83]Result!$M$7</f>
        <v>0</v>
      </c>
      <c r="N30" s="78" t="str">
        <f>[83]Result!$N$7</f>
        <v>-</v>
      </c>
      <c r="O30" s="79" t="str">
        <f>[83]Result!$O$7</f>
        <v>-</v>
      </c>
      <c r="P30" s="80">
        <f>[83]Result!$P$7</f>
        <v>6</v>
      </c>
      <c r="Q30" s="80">
        <f>[83]Result!$Q$7</f>
        <v>5</v>
      </c>
      <c r="R30" s="78">
        <f>[83]Result!$R$7</f>
        <v>0.83333333333333337</v>
      </c>
      <c r="S30" s="59" t="str">
        <f>[83]Result!$S$7</f>
        <v>-</v>
      </c>
      <c r="T30" s="24" t="str">
        <f>[83]Result!$S$2</f>
        <v>REV01</v>
      </c>
      <c r="U30" s="24" t="str">
        <f>[83]Result!$S$3</f>
        <v>XXXX</v>
      </c>
      <c r="V30" s="22" t="str">
        <f>[83]Result!$T$7</f>
        <v xml:space="preserve">RTL: 
1) F1/F3 coverage :  test mode 가 off 되어있어, coverage 에 반영 안됨. (test mode 는  test coverage 로 check 됨.)
POST:
FPGA: </v>
      </c>
    </row>
    <row r="31" spans="1:22" x14ac:dyDescent="0.3">
      <c r="B31" s="25">
        <v>24</v>
      </c>
      <c r="C31" s="29" t="str">
        <f>[84]Result!$C$7</f>
        <v>M-PHY</v>
      </c>
      <c r="D31" s="29" t="str">
        <f>[84]Result!$D$7</f>
        <v>김현욱 선임</v>
      </c>
      <c r="E31" s="56" t="str">
        <f>[84]Result!$E$7</f>
        <v>김현욱 선임</v>
      </c>
      <c r="F31" s="69">
        <f>[84]Result!$F$7</f>
        <v>30</v>
      </c>
      <c r="G31" s="25">
        <f>[84]Result!$G$7</f>
        <v>26</v>
      </c>
      <c r="H31" s="82">
        <f>[84]Result!$H$7</f>
        <v>0.8666666666666667</v>
      </c>
      <c r="I31" s="82" t="str">
        <f>[84]Result!$I$7</f>
        <v>N/A</v>
      </c>
      <c r="J31" s="82" t="str">
        <f>[84]Result!$J$7</f>
        <v>N/A</v>
      </c>
      <c r="K31" s="83" t="str">
        <f>[84]Result!$K$7</f>
        <v>-</v>
      </c>
      <c r="L31" s="84">
        <f>[84]Result!$L$7</f>
        <v>0</v>
      </c>
      <c r="M31" s="85">
        <f>[84]Result!$M$7</f>
        <v>0</v>
      </c>
      <c r="N31" s="82" t="str">
        <f>[84]Result!$N$7</f>
        <v>-</v>
      </c>
      <c r="O31" s="83" t="str">
        <f>[84]Result!$O$7</f>
        <v>-</v>
      </c>
      <c r="P31" s="84" t="str">
        <f>[84]Result!$P$7</f>
        <v>N/A</v>
      </c>
      <c r="Q31" s="84" t="str">
        <f>[84]Result!$Q$7</f>
        <v>N/A</v>
      </c>
      <c r="R31" s="82" t="str">
        <f>[84]Result!$R$7</f>
        <v>N/A</v>
      </c>
      <c r="S31" s="60" t="str">
        <f>[84]Result!$S$7</f>
        <v>-</v>
      </c>
      <c r="T31" s="30" t="str">
        <f>[84]Result!$S$2</f>
        <v>REV01</v>
      </c>
      <c r="U31" s="30" t="str">
        <f>[84]Result!$S$3</f>
        <v>XXXX</v>
      </c>
      <c r="V31" s="28" t="str">
        <f>[84]Result!$T$7</f>
        <v xml:space="preserve">RTL:
POST:
FPGA: </v>
      </c>
    </row>
    <row r="32" spans="1:22" x14ac:dyDescent="0.3">
      <c r="B32" s="18">
        <v>25</v>
      </c>
      <c r="C32" s="23" t="str">
        <f>[85]Result!$C$7</f>
        <v>Nand PHY</v>
      </c>
      <c r="D32" s="23" t="str">
        <f>[85]Result!$D$7</f>
        <v>천동엽 선임</v>
      </c>
      <c r="E32" s="55" t="str">
        <f>[85]Result!$E$7</f>
        <v>천동엽 선임</v>
      </c>
      <c r="F32" s="68">
        <f>[85]Result!$F$7</f>
        <v>5</v>
      </c>
      <c r="G32" s="64">
        <f>[85]Result!$G$7</f>
        <v>5</v>
      </c>
      <c r="H32" s="78">
        <f>[85]Result!$H$7</f>
        <v>1</v>
      </c>
      <c r="I32" s="78" t="str">
        <f>[85]Result!$I$7</f>
        <v>N/A</v>
      </c>
      <c r="J32" s="78" t="str">
        <f>[85]Result!$J$7</f>
        <v>N/A</v>
      </c>
      <c r="K32" s="79" t="str">
        <f>[85]Result!$K$7</f>
        <v>-</v>
      </c>
      <c r="L32" s="80">
        <f>[85]Result!$L$7</f>
        <v>0</v>
      </c>
      <c r="M32" s="81">
        <f>[85]Result!$M$7</f>
        <v>0</v>
      </c>
      <c r="N32" s="78" t="str">
        <f>[85]Result!$N$7</f>
        <v>-</v>
      </c>
      <c r="O32" s="79" t="str">
        <f>[85]Result!$O$7</f>
        <v>-</v>
      </c>
      <c r="P32" s="80" t="str">
        <f>[85]Result!$P$7</f>
        <v>N/A</v>
      </c>
      <c r="Q32" s="80" t="str">
        <f>[85]Result!$Q$7</f>
        <v>N/A</v>
      </c>
      <c r="R32" s="78" t="str">
        <f>[85]Result!$R$7</f>
        <v>N/A</v>
      </c>
      <c r="S32" s="59" t="str">
        <f>[85]Result!$S$7</f>
        <v>-</v>
      </c>
      <c r="T32" s="24" t="str">
        <f>[85]Result!$S$2</f>
        <v>REV01</v>
      </c>
      <c r="U32" s="24" t="str">
        <f>[85]Result!$S$3</f>
        <v>XXXX</v>
      </c>
      <c r="V32" s="22" t="str">
        <f>[85]Result!$T$7</f>
        <v xml:space="preserve">RTL: 
POST:
FPGA: </v>
      </c>
    </row>
    <row r="33" spans="2:22" x14ac:dyDescent="0.3">
      <c r="B33" s="25">
        <v>26</v>
      </c>
      <c r="C33" s="29" t="str">
        <f>[86]Result!$C$7</f>
        <v>ONFI IO</v>
      </c>
      <c r="D33" s="29" t="str">
        <f>[86]Result!$D$7</f>
        <v>안레센 선임</v>
      </c>
      <c r="E33" s="56" t="str">
        <f>[86]Result!$E$7</f>
        <v>안레센 선임</v>
      </c>
      <c r="F33" s="69">
        <f>[86]Result!$F$7</f>
        <v>7</v>
      </c>
      <c r="G33" s="25">
        <f>[86]Result!$G$7</f>
        <v>7</v>
      </c>
      <c r="H33" s="82">
        <f>[86]Result!$H$7</f>
        <v>1</v>
      </c>
      <c r="I33" s="82">
        <f>[86]Result!$I$7</f>
        <v>0.72</v>
      </c>
      <c r="J33" s="82">
        <f>[86]Result!$J$7</f>
        <v>0.72</v>
      </c>
      <c r="K33" s="83" t="str">
        <f>[86]Result!$K$7</f>
        <v>-</v>
      </c>
      <c r="L33" s="84">
        <f>[86]Result!$L$7</f>
        <v>0</v>
      </c>
      <c r="M33" s="85">
        <f>[86]Result!$M$7</f>
        <v>0</v>
      </c>
      <c r="N33" s="82" t="str">
        <f>[86]Result!$N$7</f>
        <v>-</v>
      </c>
      <c r="O33" s="83" t="str">
        <f>[86]Result!$O$7</f>
        <v>-</v>
      </c>
      <c r="P33" s="84" t="str">
        <f>[86]Result!$P$7</f>
        <v>N/A</v>
      </c>
      <c r="Q33" s="84" t="str">
        <f>[86]Result!$Q$7</f>
        <v>N/A</v>
      </c>
      <c r="R33" s="82" t="str">
        <f>[86]Result!$R$7</f>
        <v>N/A</v>
      </c>
      <c r="S33" s="60" t="str">
        <f>[86]Result!$S$7</f>
        <v>-</v>
      </c>
      <c r="T33" s="30" t="str">
        <f>[86]Result!$S$2</f>
        <v>REV01</v>
      </c>
      <c r="U33" s="30" t="str">
        <f>[86]Result!$S$3</f>
        <v>XXXX</v>
      </c>
      <c r="V33" s="28" t="str">
        <f>[86]Result!$T$7</f>
        <v xml:space="preserve">IO 계약이 진행 중 / 추후 update하겠음
RTL:
POST:
FPGA: </v>
      </c>
    </row>
    <row r="34" spans="2:22" x14ac:dyDescent="0.3">
      <c r="B34" s="18">
        <v>27</v>
      </c>
      <c r="C34" s="23" t="str">
        <f>[87]Result!$C$7</f>
        <v>Test IO Mux</v>
      </c>
      <c r="D34" s="23" t="str">
        <f>[87]Result!$D$7</f>
        <v>이광순 선임</v>
      </c>
      <c r="E34" s="55" t="str">
        <f>[87]Result!$E$7</f>
        <v>이광순 선임</v>
      </c>
      <c r="F34" s="68">
        <f>[87]Result!$F$7</f>
        <v>14</v>
      </c>
      <c r="G34" s="64">
        <f>[87]Result!$G$7</f>
        <v>14</v>
      </c>
      <c r="H34" s="78">
        <f>[87]Result!$H$7</f>
        <v>1</v>
      </c>
      <c r="I34" s="78" t="str">
        <f>[87]Result!$I$7</f>
        <v>N/A</v>
      </c>
      <c r="J34" s="78">
        <f>[87]Result!$J$7</f>
        <v>0.88</v>
      </c>
      <c r="K34" s="79" t="str">
        <f>[87]Result!$K$7</f>
        <v>-</v>
      </c>
      <c r="L34" s="80">
        <f>[87]Result!$L$7</f>
        <v>0</v>
      </c>
      <c r="M34" s="81">
        <f>[87]Result!$M$7</f>
        <v>0</v>
      </c>
      <c r="N34" s="78" t="str">
        <f>[87]Result!$N$7</f>
        <v>-</v>
      </c>
      <c r="O34" s="79" t="str">
        <f>[87]Result!$O$7</f>
        <v>-</v>
      </c>
      <c r="P34" s="80" t="str">
        <f>[87]Result!$P$7</f>
        <v>N/A</v>
      </c>
      <c r="Q34" s="80" t="str">
        <f>[87]Result!$Q$7</f>
        <v>N/A</v>
      </c>
      <c r="R34" s="78" t="str">
        <f>[87]Result!$R$7</f>
        <v>N/A</v>
      </c>
      <c r="S34" s="59" t="str">
        <f>[87]Result!$S$7</f>
        <v>-</v>
      </c>
      <c r="T34" s="24" t="str">
        <f>[87]Result!$S$2</f>
        <v>REV01</v>
      </c>
      <c r="U34" s="24" t="str">
        <f>[87]Result!$S$3</f>
        <v>XXXX</v>
      </c>
      <c r="V34" s="22" t="str">
        <f>[87]Result!$T$7</f>
        <v>RTL: coverage -&gt; expression 기준
POST:
FPGA: N/A</v>
      </c>
    </row>
    <row r="35" spans="2:22" x14ac:dyDescent="0.3">
      <c r="B35" s="25">
        <v>28</v>
      </c>
      <c r="C35" s="29" t="str">
        <f>[88]Result!$C$7</f>
        <v>eFuse Con</v>
      </c>
      <c r="D35" s="29" t="str">
        <f>[88]Result!$D$7</f>
        <v>박재한 책임</v>
      </c>
      <c r="E35" s="56" t="str">
        <f>[88]Result!$E$7</f>
        <v>박재한 책임</v>
      </c>
      <c r="F35" s="69">
        <f>[88]Result!$F$7</f>
        <v>10</v>
      </c>
      <c r="G35" s="25">
        <f>[88]Result!$G$7</f>
        <v>10</v>
      </c>
      <c r="H35" s="82">
        <f>[88]Result!$H$7</f>
        <v>1</v>
      </c>
      <c r="I35" s="82">
        <f>[88]Result!$I$7</f>
        <v>0.95</v>
      </c>
      <c r="J35" s="82">
        <f>[88]Result!$J$7</f>
        <v>0.95</v>
      </c>
      <c r="K35" s="83" t="str">
        <f>[88]Result!$K$7</f>
        <v>-</v>
      </c>
      <c r="L35" s="84">
        <f>[88]Result!$L$7</f>
        <v>3</v>
      </c>
      <c r="M35" s="85">
        <f>[88]Result!$M$7</f>
        <v>0</v>
      </c>
      <c r="N35" s="82">
        <f>[88]Result!$N$7</f>
        <v>0</v>
      </c>
      <c r="O35" s="83" t="str">
        <f>[88]Result!$O$7</f>
        <v>-</v>
      </c>
      <c r="P35" s="84">
        <f>[88]Result!$P$7</f>
        <v>5</v>
      </c>
      <c r="Q35" s="84">
        <f>[88]Result!$Q$7</f>
        <v>5</v>
      </c>
      <c r="R35" s="82">
        <f>[88]Result!$R$7</f>
        <v>1</v>
      </c>
      <c r="S35" s="60" t="str">
        <f>[88]Result!$S$7</f>
        <v>-</v>
      </c>
      <c r="T35" s="30" t="str">
        <f>[88]Result!$S$2</f>
        <v>REV01</v>
      </c>
      <c r="U35" s="30" t="str">
        <f>[88]Result!$S$3</f>
        <v>XXXX</v>
      </c>
      <c r="V35" s="28" t="str">
        <f>[88]Result!$T$7</f>
        <v xml:space="preserve">RTL:
POST:
FPGA: </v>
      </c>
    </row>
    <row r="36" spans="2:22" x14ac:dyDescent="0.3">
      <c r="B36" s="18">
        <v>29</v>
      </c>
      <c r="C36" s="23" t="str">
        <f>[89]Result!$C$7</f>
        <v>HW Bypass</v>
      </c>
      <c r="D36" s="23" t="str">
        <f>[89]Result!$D$7</f>
        <v>안영규 책임</v>
      </c>
      <c r="E36" s="55" t="str">
        <f>[89]Result!$E$7</f>
        <v>이광순 선임</v>
      </c>
      <c r="F36" s="68">
        <f>[89]Result!$F$7</f>
        <v>47</v>
      </c>
      <c r="G36" s="64">
        <f>[89]Result!$G$7</f>
        <v>47</v>
      </c>
      <c r="H36" s="78">
        <f>[89]Result!$H$7</f>
        <v>1</v>
      </c>
      <c r="I36" s="78" t="str">
        <f>[89]Result!$I$7</f>
        <v>N/A</v>
      </c>
      <c r="J36" s="78" t="str">
        <f>[89]Result!$J$7</f>
        <v>N/A</v>
      </c>
      <c r="K36" s="79" t="str">
        <f>[89]Result!$K$7</f>
        <v>-</v>
      </c>
      <c r="L36" s="80">
        <f>[89]Result!$L$7</f>
        <v>0</v>
      </c>
      <c r="M36" s="81">
        <f>[89]Result!$M$7</f>
        <v>0</v>
      </c>
      <c r="N36" s="78" t="str">
        <f>[89]Result!$N$7</f>
        <v>-</v>
      </c>
      <c r="O36" s="79" t="str">
        <f>[89]Result!$O$7</f>
        <v>-</v>
      </c>
      <c r="P36" s="80" t="str">
        <f>[89]Result!$P$7</f>
        <v>N/A</v>
      </c>
      <c r="Q36" s="80" t="str">
        <f>[89]Result!$Q$7</f>
        <v>N/A</v>
      </c>
      <c r="R36" s="78" t="str">
        <f>[89]Result!$R$7</f>
        <v>N/A</v>
      </c>
      <c r="S36" s="59" t="str">
        <f>[89]Result!$S$7</f>
        <v>-</v>
      </c>
      <c r="T36" s="24" t="str">
        <f>[89]Result!$S$2</f>
        <v>REV01</v>
      </c>
      <c r="U36" s="24" t="str">
        <f>[89]Result!$S$3</f>
        <v>XXXX</v>
      </c>
      <c r="V36" s="31" t="str">
        <f>[89]Result!$T$7</f>
        <v xml:space="preserve">RTL:
POST:
FPGA: </v>
      </c>
    </row>
    <row r="37" spans="2:22" x14ac:dyDescent="0.3">
      <c r="B37" s="25">
        <v>30</v>
      </c>
      <c r="C37" s="29" t="str">
        <f>[90]Result!$C$7</f>
        <v>Analog IP</v>
      </c>
      <c r="D37" s="29" t="str">
        <f>[90]Result!$D$7</f>
        <v>양창호 선임</v>
      </c>
      <c r="E37" s="56" t="str">
        <f>[90]Result!$E$7</f>
        <v>양창호 선임</v>
      </c>
      <c r="F37" s="69">
        <f>[90]Result!$F$7</f>
        <v>21</v>
      </c>
      <c r="G37" s="25">
        <f>[90]Result!$G$7</f>
        <v>19</v>
      </c>
      <c r="H37" s="82">
        <f>[90]Result!$H$7</f>
        <v>0.90476190476190477</v>
      </c>
      <c r="I37" s="82" t="str">
        <f>[90]Result!$I$7</f>
        <v>N/A</v>
      </c>
      <c r="J37" s="82" t="str">
        <f>[90]Result!$J$7</f>
        <v>N/A</v>
      </c>
      <c r="K37" s="83" t="str">
        <f>[90]Result!$K$7</f>
        <v>-</v>
      </c>
      <c r="L37" s="84" t="str">
        <f>[90]Result!$L$7</f>
        <v>N/A</v>
      </c>
      <c r="M37" s="85" t="str">
        <f>[90]Result!$M$7</f>
        <v>N/A</v>
      </c>
      <c r="N37" s="82" t="str">
        <f>[90]Result!$N$7</f>
        <v>N/A</v>
      </c>
      <c r="O37" s="83" t="str">
        <f>[90]Result!$O$7</f>
        <v>N/A</v>
      </c>
      <c r="P37" s="84" t="str">
        <f>[90]Result!$P$7</f>
        <v>N/A</v>
      </c>
      <c r="Q37" s="84" t="str">
        <f>[90]Result!$Q$7</f>
        <v>N/A</v>
      </c>
      <c r="R37" s="82" t="str">
        <f>[90]Result!$R$7</f>
        <v>N/A</v>
      </c>
      <c r="S37" s="60" t="str">
        <f>[90]Result!$S$7</f>
        <v>N/A</v>
      </c>
      <c r="T37" s="30" t="str">
        <f>[90]Result!$S$2</f>
        <v>REV01</v>
      </c>
      <c r="U37" s="30" t="str">
        <f>[90]Result!$S$3</f>
        <v>XXXX</v>
      </c>
      <c r="V37" s="28" t="str">
        <f>[90]Result!$T$7</f>
        <v xml:space="preserve">RTL:
POST:
FPGA: </v>
      </c>
    </row>
    <row r="38" spans="2:22" x14ac:dyDescent="0.3">
      <c r="B38" s="18">
        <v>31</v>
      </c>
      <c r="C38" s="32" t="str">
        <f>[91]Result!$C$7</f>
        <v>Token Gen</v>
      </c>
      <c r="D38" s="23" t="str">
        <f>[91]Result!$D$7</f>
        <v>안레센 선임</v>
      </c>
      <c r="E38" s="55" t="str">
        <f>[91]Result!$E$7</f>
        <v>안레센 선임</v>
      </c>
      <c r="F38" s="71">
        <f>[91]Result!$F$7</f>
        <v>8</v>
      </c>
      <c r="G38" s="73">
        <f>[91]Result!$G$7</f>
        <v>8</v>
      </c>
      <c r="H38" s="78">
        <f>[91]Result!$H$7</f>
        <v>1</v>
      </c>
      <c r="I38" s="78">
        <f>[91]Result!$I$7</f>
        <v>0.72</v>
      </c>
      <c r="J38" s="78">
        <f>[91]Result!$J$7</f>
        <v>0.72</v>
      </c>
      <c r="K38" s="79" t="str">
        <f>[91]Result!$K$7</f>
        <v>-</v>
      </c>
      <c r="L38" s="80">
        <f>[91]Result!$L$7</f>
        <v>0</v>
      </c>
      <c r="M38" s="81">
        <f>[91]Result!$M$7</f>
        <v>0</v>
      </c>
      <c r="N38" s="78" t="str">
        <f>[91]Result!$N$7</f>
        <v>-</v>
      </c>
      <c r="O38" s="79" t="str">
        <f>[91]Result!$O$7</f>
        <v>-</v>
      </c>
      <c r="P38" s="80" t="str">
        <f>[91]Result!$P$7</f>
        <v>N/A</v>
      </c>
      <c r="Q38" s="80" t="str">
        <f>[91]Result!$Q$7</f>
        <v>N/A</v>
      </c>
      <c r="R38" s="78" t="str">
        <f>[91]Result!$R$7</f>
        <v>N/A</v>
      </c>
      <c r="S38" s="59" t="str">
        <f>[91]Result!$S$7</f>
        <v>O</v>
      </c>
      <c r="T38" s="24" t="str">
        <f>[91]Result!$S$2</f>
        <v>REV01</v>
      </c>
      <c r="U38" s="24" t="str">
        <f>[91]Result!$S$3</f>
        <v>XXXX</v>
      </c>
      <c r="V38" s="22" t="str">
        <f>[91]Result!$T$7</f>
        <v xml:space="preserve">RTL:
POST:
FPGA: </v>
      </c>
    </row>
    <row r="39" spans="2:22" x14ac:dyDescent="0.3">
      <c r="B39" s="382" t="s">
        <v>33</v>
      </c>
      <c r="C39" s="383"/>
      <c r="D39" s="383"/>
      <c r="E39" s="384"/>
      <c r="F39" s="90" t="e">
        <f>SUM(F8:F38)</f>
        <v>#REF!</v>
      </c>
      <c r="G39" s="90" t="e">
        <f>SUM(G8:G38)</f>
        <v>#REF!</v>
      </c>
      <c r="H39" s="91" t="s">
        <v>31</v>
      </c>
      <c r="I39" s="92" t="s">
        <v>31</v>
      </c>
      <c r="J39" s="92" t="s">
        <v>31</v>
      </c>
      <c r="K39" s="93"/>
      <c r="L39" s="90" t="e">
        <f>SUM(L8:L38)</f>
        <v>#REF!</v>
      </c>
      <c r="M39" s="90" t="e">
        <f>SUM(M8:M38)</f>
        <v>#REF!</v>
      </c>
      <c r="N39" s="91" t="s">
        <v>31</v>
      </c>
      <c r="O39" s="94" t="s">
        <v>31</v>
      </c>
      <c r="P39" s="90" t="e">
        <f>SUM(P8:P38)</f>
        <v>#REF!</v>
      </c>
      <c r="Q39" s="90" t="e">
        <f>SUM(Q8:Q38)</f>
        <v>#REF!</v>
      </c>
      <c r="R39" s="91" t="s">
        <v>31</v>
      </c>
      <c r="S39" s="95"/>
      <c r="T39" s="388"/>
      <c r="U39" s="389"/>
      <c r="V39" s="389"/>
    </row>
    <row r="40" spans="2:22" x14ac:dyDescent="0.3">
      <c r="B40" s="382" t="s">
        <v>32</v>
      </c>
      <c r="C40" s="383"/>
      <c r="D40" s="383"/>
      <c r="E40" s="384"/>
      <c r="F40" s="96" t="e">
        <f>AVERAGE(F9:F38)</f>
        <v>#REF!</v>
      </c>
      <c r="G40" s="96" t="e">
        <f>AVERAGE(G9:G38)</f>
        <v>#REF!</v>
      </c>
      <c r="H40" s="91" t="e">
        <f>AVERAGE(H9:H38)</f>
        <v>#REF!</v>
      </c>
      <c r="I40" s="92" t="e">
        <f>AVERAGE(I9:I38)</f>
        <v>#REF!</v>
      </c>
      <c r="J40" s="92" t="e">
        <f>AVERAGE(J9:J38)</f>
        <v>#REF!</v>
      </c>
      <c r="K40" s="97"/>
      <c r="L40" s="98" t="e">
        <f>AVERAGE(L9:L38)</f>
        <v>#REF!</v>
      </c>
      <c r="M40" s="98" t="e">
        <f>AVERAGE(M9:M38)</f>
        <v>#REF!</v>
      </c>
      <c r="N40" s="92" t="e">
        <f>AVERAGE(N9:N38)</f>
        <v>#REF!</v>
      </c>
      <c r="O40" s="95"/>
      <c r="P40" s="98" t="e">
        <f>AVERAGE(P9:P38)</f>
        <v>#REF!</v>
      </c>
      <c r="Q40" s="98" t="e">
        <f>AVERAGE(Q9:Q38)</f>
        <v>#REF!</v>
      </c>
      <c r="R40" s="91" t="e">
        <f>AVERAGE(R9:R38)</f>
        <v>#REF!</v>
      </c>
      <c r="S40" s="95"/>
      <c r="T40" s="74"/>
      <c r="U40" s="74"/>
      <c r="V40" s="74"/>
    </row>
    <row r="41" spans="2:22" ht="17.25" x14ac:dyDescent="0.3">
      <c r="B41" s="385" t="s">
        <v>34</v>
      </c>
      <c r="C41" s="385"/>
      <c r="D41" s="385"/>
      <c r="E41" s="385"/>
      <c r="F41" s="386" t="e">
        <f>F39+L39+P39</f>
        <v>#REF!</v>
      </c>
      <c r="G41" s="386"/>
      <c r="H41" s="387" t="e">
        <f>(G40+M40+Q40)/(F40+L40+P40)</f>
        <v>#REF!</v>
      </c>
      <c r="I41" s="387"/>
      <c r="J41" s="387" t="e">
        <f>I40</f>
        <v>#REF!</v>
      </c>
      <c r="K41" s="387"/>
      <c r="L41" s="99"/>
      <c r="M41" s="99"/>
      <c r="N41" s="100"/>
      <c r="O41" s="74"/>
      <c r="P41" s="99"/>
      <c r="Q41" s="99"/>
      <c r="R41" s="101"/>
      <c r="S41" s="74"/>
      <c r="T41" s="74"/>
      <c r="U41" s="74"/>
      <c r="V41" s="74"/>
    </row>
    <row r="42" spans="2:22" x14ac:dyDescent="0.3">
      <c r="I42" s="12"/>
    </row>
    <row r="43" spans="2:22" x14ac:dyDescent="0.3">
      <c r="B43" s="75"/>
      <c r="C43" s="1" t="s">
        <v>11</v>
      </c>
      <c r="D43" s="15">
        <v>1</v>
      </c>
      <c r="J43" s="7"/>
      <c r="K43" s="7"/>
    </row>
    <row r="44" spans="2:22" x14ac:dyDescent="0.3">
      <c r="D44" s="16">
        <v>0.9</v>
      </c>
      <c r="J44" s="7"/>
      <c r="K44" s="7"/>
    </row>
    <row r="45" spans="2:22" x14ac:dyDescent="0.3">
      <c r="B45" s="13" t="s">
        <v>30</v>
      </c>
      <c r="C45" s="1" t="s">
        <v>18</v>
      </c>
      <c r="D45" s="16">
        <v>0.7</v>
      </c>
      <c r="J45" s="7"/>
      <c r="K45" s="7"/>
    </row>
    <row r="46" spans="2:22" x14ac:dyDescent="0.3">
      <c r="D46" s="16">
        <v>0.5</v>
      </c>
      <c r="J46" s="7"/>
      <c r="K46" s="7"/>
      <c r="O46" s="11"/>
    </row>
    <row r="47" spans="2:22" x14ac:dyDescent="0.3">
      <c r="D47" s="17">
        <v>0</v>
      </c>
    </row>
  </sheetData>
  <autoFilter ref="D5:E39"/>
  <mergeCells count="20">
    <mergeCell ref="J41:K41"/>
    <mergeCell ref="T39:V39"/>
    <mergeCell ref="V5:V7"/>
    <mergeCell ref="B5:B7"/>
    <mergeCell ref="D5:D7"/>
    <mergeCell ref="F6:K6"/>
    <mergeCell ref="L6:O6"/>
    <mergeCell ref="P5:S6"/>
    <mergeCell ref="F5:O5"/>
    <mergeCell ref="C5:C7"/>
    <mergeCell ref="E5:E7"/>
    <mergeCell ref="T5:U5"/>
    <mergeCell ref="B2:I2"/>
    <mergeCell ref="D3:E3"/>
    <mergeCell ref="B3:C3"/>
    <mergeCell ref="B39:E39"/>
    <mergeCell ref="B41:E41"/>
    <mergeCell ref="B40:E40"/>
    <mergeCell ref="F41:G41"/>
    <mergeCell ref="H41:I41"/>
  </mergeCells>
  <phoneticPr fontId="1" type="noConversion"/>
  <conditionalFormatting sqref="D43:D47 R8:R41 N8:N41 H8:J40">
    <cfRule type="iconSet" priority="41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T8:T38">
    <cfRule type="cellIs" dxfId="73" priority="31" operator="equal">
      <formula>$T$7</formula>
    </cfRule>
  </conditionalFormatting>
  <conditionalFormatting sqref="C22:E22 C18">
    <cfRule type="expression" dxfId="72" priority="74">
      <formula>($L18:$L42="0")</formula>
    </cfRule>
  </conditionalFormatting>
  <conditionalFormatting sqref="C21">
    <cfRule type="expression" dxfId="71" priority="25">
      <formula>($L21:$L38="0")</formula>
    </cfRule>
  </conditionalFormatting>
  <conditionalFormatting sqref="C18:C19 C22 C26:E27 C25:C27">
    <cfRule type="expression" dxfId="70" priority="92">
      <formula>($L18:$L38="0")</formula>
    </cfRule>
  </conditionalFormatting>
  <conditionalFormatting sqref="F22:K22">
    <cfRule type="expression" dxfId="69" priority="93">
      <formula>($K22:$K46="O")</formula>
    </cfRule>
  </conditionalFormatting>
  <conditionalFormatting sqref="P22:S22">
    <cfRule type="expression" dxfId="68" priority="94">
      <formula>($S22:$S46="O")</formula>
    </cfRule>
  </conditionalFormatting>
  <conditionalFormatting sqref="L22:O22">
    <cfRule type="expression" dxfId="67" priority="96">
      <formula>($O22:$O46="O")</formula>
    </cfRule>
  </conditionalFormatting>
  <conditionalFormatting sqref="F16:K16">
    <cfRule type="expression" dxfId="66" priority="113">
      <formula>($K16:$K44="O")</formula>
    </cfRule>
  </conditionalFormatting>
  <conditionalFormatting sqref="P16:S16">
    <cfRule type="expression" dxfId="65" priority="115">
      <formula>($S16:$S44="O")</formula>
    </cfRule>
  </conditionalFormatting>
  <conditionalFormatting sqref="C11:C13 C16:E16">
    <cfRule type="expression" dxfId="64" priority="117">
      <formula>($L11:$L37="0")</formula>
    </cfRule>
  </conditionalFormatting>
  <conditionalFormatting sqref="L16:O16">
    <cfRule type="expression" dxfId="63" priority="119">
      <formula>($O16:$O44="O")</formula>
    </cfRule>
  </conditionalFormatting>
  <conditionalFormatting sqref="C29:E29">
    <cfRule type="expression" dxfId="62" priority="18">
      <formula>($L29:$L49="0")</formula>
    </cfRule>
  </conditionalFormatting>
  <conditionalFormatting sqref="C16 C19:E20">
    <cfRule type="expression" dxfId="61" priority="230">
      <formula>($L16:$L39="0")</formula>
    </cfRule>
  </conditionalFormatting>
  <conditionalFormatting sqref="C23:E23">
    <cfRule type="expression" dxfId="60" priority="261">
      <formula>($L23:$L39="0")</formula>
    </cfRule>
  </conditionalFormatting>
  <conditionalFormatting sqref="L36:O36">
    <cfRule type="expression" dxfId="59" priority="263">
      <formula>($O36:$O52="O")</formula>
    </cfRule>
  </conditionalFormatting>
  <conditionalFormatting sqref="L25:O25 L31:O33">
    <cfRule type="expression" dxfId="58" priority="266">
      <formula>($O25:$O43="O")</formula>
    </cfRule>
  </conditionalFormatting>
  <conditionalFormatting sqref="F36:K36">
    <cfRule type="expression" dxfId="57" priority="276">
      <formula>($K36:$K52="O")</formula>
    </cfRule>
  </conditionalFormatting>
  <conditionalFormatting sqref="P36:S36">
    <cfRule type="expression" dxfId="56" priority="277">
      <formula>($S36:$S52="O")</formula>
    </cfRule>
  </conditionalFormatting>
  <conditionalFormatting sqref="C30 C33:C34">
    <cfRule type="expression" dxfId="55" priority="300">
      <formula>($L30:$L45="0")</formula>
    </cfRule>
  </conditionalFormatting>
  <conditionalFormatting sqref="L30:O30 L37:O38">
    <cfRule type="expression" dxfId="54" priority="339">
      <formula>($O30:$O49="O")</formula>
    </cfRule>
  </conditionalFormatting>
  <conditionalFormatting sqref="F30:K30 F37:K38">
    <cfRule type="expression" dxfId="53" priority="484">
      <formula>($K30:$K49="O")</formula>
    </cfRule>
  </conditionalFormatting>
  <conditionalFormatting sqref="P30:S30 P37:S38">
    <cfRule type="expression" dxfId="52" priority="485">
      <formula>($S30:$S49="O")</formula>
    </cfRule>
  </conditionalFormatting>
  <conditionalFormatting sqref="L28:O28">
    <cfRule type="expression" dxfId="51" priority="493">
      <formula>($O28:$O47="O")</formula>
    </cfRule>
  </conditionalFormatting>
  <conditionalFormatting sqref="F28:K28">
    <cfRule type="expression" dxfId="50" priority="518">
      <formula>($K28:$K47="O")</formula>
    </cfRule>
  </conditionalFormatting>
  <conditionalFormatting sqref="P28:S28">
    <cfRule type="expression" dxfId="49" priority="519">
      <formula>($S28:$S47="O")</formula>
    </cfRule>
  </conditionalFormatting>
  <conditionalFormatting sqref="F29:K29 F23:K27">
    <cfRule type="expression" dxfId="48" priority="551">
      <formula>($K23:$K43="O")</formula>
    </cfRule>
  </conditionalFormatting>
  <conditionalFormatting sqref="P29:S29 P23:S27">
    <cfRule type="expression" dxfId="47" priority="553">
      <formula>($S23:$S43="O")</formula>
    </cfRule>
  </conditionalFormatting>
  <conditionalFormatting sqref="L23:O23">
    <cfRule type="expression" dxfId="46" priority="558">
      <formula>($O23:$O39="O")</formula>
    </cfRule>
  </conditionalFormatting>
  <conditionalFormatting sqref="L29:O29 L23:O27">
    <cfRule type="expression" dxfId="45" priority="630">
      <formula>($O23:$O43="O")</formula>
    </cfRule>
  </conditionalFormatting>
  <conditionalFormatting sqref="C36:E36">
    <cfRule type="expression" dxfId="44" priority="712">
      <formula>($L36:$L52="0")</formula>
    </cfRule>
  </conditionalFormatting>
  <conditionalFormatting sqref="L24:O24">
    <cfRule type="expression" dxfId="43" priority="817">
      <formula>($O24:$O39="O")</formula>
    </cfRule>
  </conditionalFormatting>
  <conditionalFormatting sqref="C13:C14 C17:E18">
    <cfRule type="expression" dxfId="42" priority="827">
      <formula>($L13:$L38="0")</formula>
    </cfRule>
  </conditionalFormatting>
  <conditionalFormatting sqref="C8:E9 C12:E14">
    <cfRule type="expression" dxfId="41" priority="829">
      <formula>($L8:$L38="0")</formula>
    </cfRule>
  </conditionalFormatting>
  <conditionalFormatting sqref="F8:K9">
    <cfRule type="expression" dxfId="40" priority="835">
      <formula>($K8:$K38="O")</formula>
    </cfRule>
  </conditionalFormatting>
  <conditionalFormatting sqref="P8:S9">
    <cfRule type="expression" dxfId="39" priority="836">
      <formula>($S8:$S38="O")</formula>
    </cfRule>
  </conditionalFormatting>
  <conditionalFormatting sqref="L8:O9">
    <cfRule type="expression" dxfId="38" priority="837">
      <formula>($O8:$O38="O")</formula>
    </cfRule>
  </conditionalFormatting>
  <conditionalFormatting sqref="D18:E18">
    <cfRule type="expression" dxfId="37" priority="10">
      <formula>($L18:$L39="0")</formula>
    </cfRule>
  </conditionalFormatting>
  <conditionalFormatting sqref="U8:U38">
    <cfRule type="cellIs" dxfId="36" priority="9" operator="equal">
      <formula>$U$7</formula>
    </cfRule>
  </conditionalFormatting>
  <conditionalFormatting sqref="C15:E15 C11:E11">
    <cfRule type="expression" dxfId="35" priority="927">
      <formula>($L11:$L42="0")</formula>
    </cfRule>
  </conditionalFormatting>
  <conditionalFormatting sqref="F10:K10">
    <cfRule type="expression" dxfId="34" priority="934">
      <formula>($K10:$K43="O")</formula>
    </cfRule>
  </conditionalFormatting>
  <conditionalFormatting sqref="P10:S10">
    <cfRule type="expression" dxfId="33" priority="936">
      <formula>($S10:$S43="O")</formula>
    </cfRule>
  </conditionalFormatting>
  <conditionalFormatting sqref="L10:O10">
    <cfRule type="expression" dxfId="32" priority="938">
      <formula>($O10:$O43="O")</formula>
    </cfRule>
  </conditionalFormatting>
  <conditionalFormatting sqref="C15">
    <cfRule type="expression" dxfId="31" priority="948">
      <formula>($L15:$L42="0")</formula>
    </cfRule>
  </conditionalFormatting>
  <conditionalFormatting sqref="C34:E35">
    <cfRule type="expression" dxfId="30" priority="965">
      <formula>($L34:$L48="0")</formula>
    </cfRule>
  </conditionalFormatting>
  <conditionalFormatting sqref="C16:C17 C20:C21">
    <cfRule type="expression" dxfId="29" priority="980">
      <formula>($L16:$L38="0")</formula>
    </cfRule>
  </conditionalFormatting>
  <conditionalFormatting sqref="C30:E30 C37:E38 C27 C23 C28:E28">
    <cfRule type="expression" dxfId="28" priority="982">
      <formula>($L23:$L42="0")</formula>
    </cfRule>
  </conditionalFormatting>
  <conditionalFormatting sqref="C14:C15">
    <cfRule type="expression" dxfId="27" priority="990">
      <formula>($L14:$L42="0")</formula>
    </cfRule>
  </conditionalFormatting>
  <conditionalFormatting sqref="C21:E21">
    <cfRule type="expression" dxfId="26" priority="994">
      <formula>($L21:$L46="0")</formula>
    </cfRule>
  </conditionalFormatting>
  <conditionalFormatting sqref="F11:K11">
    <cfRule type="expression" dxfId="25" priority="1013">
      <formula>($K11:$K43="O")</formula>
    </cfRule>
  </conditionalFormatting>
  <conditionalFormatting sqref="P11:S11">
    <cfRule type="expression" dxfId="24" priority="1014">
      <formula>($S11:$S43="O")</formula>
    </cfRule>
  </conditionalFormatting>
  <conditionalFormatting sqref="L11:O11">
    <cfRule type="expression" dxfId="23" priority="1015">
      <formula>($O11:$O43="O")</formula>
    </cfRule>
  </conditionalFormatting>
  <conditionalFormatting sqref="F8:S38">
    <cfRule type="containsText" dxfId="22" priority="7" operator="containsText" text="N/A">
      <formula>NOT(ISERROR(SEARCH("N/A",F8)))</formula>
    </cfRule>
  </conditionalFormatting>
  <conditionalFormatting sqref="H8:H38 R8:R38 N8:N38">
    <cfRule type="cellIs" dxfId="21" priority="6" operator="equal">
      <formula>1</formula>
    </cfRule>
  </conditionalFormatting>
  <conditionalFormatting sqref="P8:P38">
    <cfRule type="cellIs" dxfId="20" priority="1" operator="equal">
      <formula>0</formula>
    </cfRule>
  </conditionalFormatting>
  <conditionalFormatting sqref="L34:O35">
    <cfRule type="expression" dxfId="19" priority="1138">
      <formula>($O34:$O48="O")</formula>
    </cfRule>
  </conditionalFormatting>
  <conditionalFormatting sqref="C29">
    <cfRule type="expression" dxfId="18" priority="1142">
      <formula>($L29:$L42="0")</formula>
    </cfRule>
  </conditionalFormatting>
  <conditionalFormatting sqref="C10:E10">
    <cfRule type="expression" dxfId="17" priority="1144">
      <formula>($L10:$L42="0")</formula>
    </cfRule>
  </conditionalFormatting>
  <conditionalFormatting sqref="H8:J38">
    <cfRule type="cellIs" dxfId="16" priority="1149" operator="lessThan">
      <formula>$D$45</formula>
    </cfRule>
  </conditionalFormatting>
  <conditionalFormatting sqref="R8:R38">
    <cfRule type="cellIs" dxfId="15" priority="1150" operator="equal">
      <formula>"-"</formula>
    </cfRule>
    <cfRule type="cellIs" dxfId="14" priority="1151" operator="lessThan">
      <formula>$D$46</formula>
    </cfRule>
  </conditionalFormatting>
  <conditionalFormatting sqref="C24:E25 C31:E33">
    <cfRule type="expression" dxfId="13" priority="1155">
      <formula>($L24:$L42="0")</formula>
    </cfRule>
  </conditionalFormatting>
  <conditionalFormatting sqref="F12:K15">
    <cfRule type="expression" dxfId="12" priority="1157">
      <formula>($K12:$K43="O")</formula>
    </cfRule>
  </conditionalFormatting>
  <conditionalFormatting sqref="P12:S15">
    <cfRule type="expression" dxfId="11" priority="1158">
      <formula>($S12:$S43="O")</formula>
    </cfRule>
  </conditionalFormatting>
  <conditionalFormatting sqref="L12:O15">
    <cfRule type="expression" dxfId="10" priority="1159">
      <formula>($O12:$O43="O")</formula>
    </cfRule>
  </conditionalFormatting>
  <conditionalFormatting sqref="F31:K33">
    <cfRule type="expression" dxfId="9" priority="1161">
      <formula>($K31:$K49="O")</formula>
    </cfRule>
  </conditionalFormatting>
  <conditionalFormatting sqref="P31:S33">
    <cfRule type="expression" dxfId="8" priority="1162">
      <formula>($S31:$S49="O")</formula>
    </cfRule>
  </conditionalFormatting>
  <conditionalFormatting sqref="F34:K35">
    <cfRule type="expression" dxfId="7" priority="1163">
      <formula>($K34:$K48="O")</formula>
    </cfRule>
  </conditionalFormatting>
  <conditionalFormatting sqref="P34:S35">
    <cfRule type="expression" dxfId="6" priority="1164">
      <formula>($S34:$S48="O")</formula>
    </cfRule>
  </conditionalFormatting>
  <conditionalFormatting sqref="F17:K18">
    <cfRule type="expression" dxfId="5" priority="1166">
      <formula>($K17:$K44="O")</formula>
    </cfRule>
  </conditionalFormatting>
  <conditionalFormatting sqref="P17:S18">
    <cfRule type="expression" dxfId="4" priority="1167">
      <formula>($S17:$S44="O")</formula>
    </cfRule>
  </conditionalFormatting>
  <conditionalFormatting sqref="L19:O21">
    <cfRule type="expression" dxfId="3" priority="1168">
      <formula>($O19:$O44="O")</formula>
    </cfRule>
  </conditionalFormatting>
  <conditionalFormatting sqref="L17:O18">
    <cfRule type="expression" dxfId="2" priority="1169">
      <formula>($O17:$O44="O")</formula>
    </cfRule>
  </conditionalFormatting>
  <conditionalFormatting sqref="F19:K21">
    <cfRule type="expression" dxfId="1" priority="1170">
      <formula>($K19:$K44="O")</formula>
    </cfRule>
  </conditionalFormatting>
  <conditionalFormatting sqref="P19:S21">
    <cfRule type="expression" dxfId="0" priority="1171">
      <formula>($S19:$S44="O")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r:id="rId5">
            <anchor moveWithCells="1">
              <from>
                <xdr:col>21</xdr:col>
                <xdr:colOff>3733800</xdr:colOff>
                <xdr:row>0</xdr:row>
                <xdr:rowOff>104775</xdr:rowOff>
              </from>
              <to>
                <xdr:col>21</xdr:col>
                <xdr:colOff>4914900</xdr:colOff>
                <xdr:row>3</xdr:row>
                <xdr:rowOff>19050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44"/>
  <sheetViews>
    <sheetView showGridLines="0" zoomScale="90" zoomScaleNormal="90" workbookViewId="0">
      <selection activeCell="Y42" sqref="Y42"/>
    </sheetView>
  </sheetViews>
  <sheetFormatPr defaultRowHeight="12" x14ac:dyDescent="0.3"/>
  <cols>
    <col min="1" max="1" width="3.125" style="51" customWidth="1"/>
    <col min="2" max="2" width="12.75" style="51" customWidth="1"/>
    <col min="3" max="4" width="6.75" style="51" bestFit="1" customWidth="1"/>
    <col min="5" max="7" width="5.75" style="51" bestFit="1" customWidth="1"/>
    <col min="8" max="8" width="5.25" style="51" bestFit="1" customWidth="1"/>
    <col min="9" max="9" width="5.75" style="51" bestFit="1" customWidth="1"/>
    <col min="10" max="10" width="5" style="51" bestFit="1" customWidth="1"/>
    <col min="11" max="11" width="5.75" style="51" bestFit="1" customWidth="1"/>
    <col min="12" max="12" width="5.25" style="51" bestFit="1" customWidth="1"/>
    <col min="13" max="13" width="5.75" style="51" bestFit="1" customWidth="1"/>
    <col min="14" max="14" width="5" style="51" bestFit="1" customWidth="1"/>
    <col min="15" max="15" width="5.75" style="51" bestFit="1" customWidth="1"/>
    <col min="16" max="16" width="5.25" style="51" bestFit="1" customWidth="1"/>
    <col min="17" max="17" width="36.625" style="51" bestFit="1" customWidth="1"/>
    <col min="18" max="16384" width="9" style="51"/>
  </cols>
  <sheetData>
    <row r="2" spans="2:17" ht="20.25" x14ac:dyDescent="0.3">
      <c r="B2" s="50" t="s">
        <v>24</v>
      </c>
    </row>
    <row r="3" spans="2:17" ht="14.25" customHeight="1" x14ac:dyDescent="0.3"/>
    <row r="4" spans="2:17" x14ac:dyDescent="0.3">
      <c r="B4" s="407" t="s">
        <v>19</v>
      </c>
      <c r="C4" s="289" t="s">
        <v>3</v>
      </c>
      <c r="D4" s="289"/>
      <c r="E4" s="289"/>
      <c r="F4" s="289"/>
      <c r="G4" s="289"/>
      <c r="H4" s="289"/>
      <c r="I4" s="289"/>
      <c r="J4" s="289"/>
      <c r="K4" s="289"/>
      <c r="L4" s="289"/>
      <c r="M4" s="289" t="s">
        <v>20</v>
      </c>
      <c r="N4" s="289"/>
      <c r="O4" s="289"/>
      <c r="P4" s="289"/>
      <c r="Q4" s="378" t="s">
        <v>21</v>
      </c>
    </row>
    <row r="5" spans="2:17" x14ac:dyDescent="0.3">
      <c r="B5" s="379"/>
      <c r="C5" s="289" t="s">
        <v>13</v>
      </c>
      <c r="D5" s="289"/>
      <c r="E5" s="289"/>
      <c r="F5" s="289"/>
      <c r="G5" s="289"/>
      <c r="H5" s="289"/>
      <c r="I5" s="289" t="s">
        <v>6</v>
      </c>
      <c r="J5" s="289"/>
      <c r="K5" s="289"/>
      <c r="L5" s="289"/>
      <c r="M5" s="289"/>
      <c r="N5" s="289"/>
      <c r="O5" s="289"/>
      <c r="P5" s="289"/>
      <c r="Q5" s="379"/>
    </row>
    <row r="6" spans="2:17" ht="24" customHeight="1" x14ac:dyDescent="0.3">
      <c r="B6" s="306"/>
      <c r="C6" s="38" t="s">
        <v>0</v>
      </c>
      <c r="D6" s="38" t="s">
        <v>22</v>
      </c>
      <c r="E6" s="38" t="s">
        <v>23</v>
      </c>
      <c r="F6" s="291" t="s">
        <v>29</v>
      </c>
      <c r="G6" s="291"/>
      <c r="H6" s="39" t="s">
        <v>10</v>
      </c>
      <c r="I6" s="38" t="s">
        <v>0</v>
      </c>
      <c r="J6" s="38" t="s">
        <v>22</v>
      </c>
      <c r="K6" s="38" t="s">
        <v>23</v>
      </c>
      <c r="L6" s="39" t="s">
        <v>10</v>
      </c>
      <c r="M6" s="38" t="s">
        <v>0</v>
      </c>
      <c r="N6" s="38" t="s">
        <v>22</v>
      </c>
      <c r="O6" s="38" t="s">
        <v>23</v>
      </c>
      <c r="P6" s="39" t="s">
        <v>10</v>
      </c>
      <c r="Q6" s="306"/>
    </row>
    <row r="7" spans="2:17" x14ac:dyDescent="0.3">
      <c r="B7" s="40">
        <v>41533</v>
      </c>
      <c r="C7" s="41">
        <v>21.193548387096776</v>
      </c>
      <c r="D7" s="41">
        <v>3.838709677419355</v>
      </c>
      <c r="E7" s="42">
        <v>4.2882882882882882E-2</v>
      </c>
      <c r="F7" s="42">
        <v>0</v>
      </c>
      <c r="G7" s="42">
        <v>0</v>
      </c>
      <c r="H7" s="41"/>
      <c r="I7" s="41">
        <v>0</v>
      </c>
      <c r="J7" s="41">
        <v>0</v>
      </c>
      <c r="K7" s="42">
        <v>0</v>
      </c>
      <c r="L7" s="41"/>
      <c r="M7" s="41">
        <v>11.774193548387096</v>
      </c>
      <c r="N7" s="41">
        <v>0</v>
      </c>
      <c r="O7" s="42">
        <v>0</v>
      </c>
      <c r="P7" s="41"/>
      <c r="Q7" s="44" t="s">
        <v>25</v>
      </c>
    </row>
    <row r="8" spans="2:17" x14ac:dyDescent="0.3">
      <c r="B8" s="45">
        <v>41548</v>
      </c>
      <c r="C8" s="46">
        <v>21.193548387096776</v>
      </c>
      <c r="D8" s="46">
        <v>3.838709677419355</v>
      </c>
      <c r="E8" s="47">
        <v>4.2882882882882882E-2</v>
      </c>
      <c r="F8" s="47">
        <v>0</v>
      </c>
      <c r="G8" s="47">
        <v>0</v>
      </c>
      <c r="H8" s="46"/>
      <c r="I8" s="46">
        <v>0</v>
      </c>
      <c r="J8" s="46">
        <v>0</v>
      </c>
      <c r="K8" s="47">
        <v>0</v>
      </c>
      <c r="L8" s="46"/>
      <c r="M8" s="46">
        <v>11.774193548387096</v>
      </c>
      <c r="N8" s="46">
        <v>0</v>
      </c>
      <c r="O8" s="47">
        <v>0</v>
      </c>
      <c r="P8" s="46"/>
      <c r="Q8" s="49"/>
    </row>
    <row r="9" spans="2:17" x14ac:dyDescent="0.3">
      <c r="B9" s="40">
        <v>41568</v>
      </c>
      <c r="C9" s="41">
        <v>24.612903225806452</v>
      </c>
      <c r="D9" s="41">
        <v>7.870967741935484</v>
      </c>
      <c r="E9" s="42">
        <v>0.35371902709916708</v>
      </c>
      <c r="F9" s="42">
        <v>0</v>
      </c>
      <c r="G9" s="42">
        <v>0.11032258064516129</v>
      </c>
      <c r="H9" s="41"/>
      <c r="I9" s="41">
        <v>0</v>
      </c>
      <c r="J9" s="41">
        <v>0</v>
      </c>
      <c r="K9" s="42">
        <v>0</v>
      </c>
      <c r="L9" s="41"/>
      <c r="M9" s="41">
        <v>12.096774193548388</v>
      </c>
      <c r="N9" s="41">
        <v>0</v>
      </c>
      <c r="O9" s="42">
        <v>0</v>
      </c>
      <c r="P9" s="41"/>
      <c r="Q9" s="44"/>
    </row>
    <row r="10" spans="2:17" x14ac:dyDescent="0.3">
      <c r="B10" s="45">
        <v>41574</v>
      </c>
      <c r="C10" s="46">
        <v>25.193548387096776</v>
      </c>
      <c r="D10" s="46">
        <v>8.5161290322580641</v>
      </c>
      <c r="E10" s="47">
        <v>0.42027639119546384</v>
      </c>
      <c r="F10" s="47">
        <v>0</v>
      </c>
      <c r="G10" s="47">
        <v>0.12774193548387097</v>
      </c>
      <c r="H10" s="46"/>
      <c r="I10" s="46">
        <v>0</v>
      </c>
      <c r="J10" s="46">
        <v>0</v>
      </c>
      <c r="K10" s="47">
        <v>0</v>
      </c>
      <c r="L10" s="46"/>
      <c r="M10" s="46">
        <v>12.096774193548388</v>
      </c>
      <c r="N10" s="46">
        <v>0</v>
      </c>
      <c r="O10" s="47">
        <v>0</v>
      </c>
      <c r="P10" s="46"/>
      <c r="Q10" s="49"/>
    </row>
    <row r="11" spans="2:17" x14ac:dyDescent="0.3">
      <c r="B11" s="40">
        <v>41582</v>
      </c>
      <c r="C11" s="41">
        <v>25.741935483870968</v>
      </c>
      <c r="D11" s="41">
        <v>13.35483870967742</v>
      </c>
      <c r="E11" s="42">
        <v>0.51085411777206091</v>
      </c>
      <c r="F11" s="42">
        <v>0</v>
      </c>
      <c r="G11" s="42">
        <v>0.21096774193548387</v>
      </c>
      <c r="H11" s="41"/>
      <c r="I11" s="41">
        <v>0</v>
      </c>
      <c r="J11" s="41">
        <v>0</v>
      </c>
      <c r="K11" s="42">
        <v>0</v>
      </c>
      <c r="L11" s="41"/>
      <c r="M11" s="41">
        <v>11.774193548387096</v>
      </c>
      <c r="N11" s="41">
        <v>0</v>
      </c>
      <c r="O11" s="42">
        <v>0</v>
      </c>
      <c r="P11" s="41"/>
      <c r="Q11" s="44"/>
    </row>
    <row r="12" spans="2:17" x14ac:dyDescent="0.3">
      <c r="B12" s="45">
        <v>41586</v>
      </c>
      <c r="C12" s="46">
        <v>30.741935483870968</v>
      </c>
      <c r="D12" s="46">
        <v>17.967741935483872</v>
      </c>
      <c r="E12" s="47">
        <v>0.57702302836219033</v>
      </c>
      <c r="F12" s="47">
        <v>2.7741935483870966E-2</v>
      </c>
      <c r="G12" s="47">
        <v>0.39935483870967736</v>
      </c>
      <c r="H12" s="46"/>
      <c r="I12" s="46">
        <v>0</v>
      </c>
      <c r="J12" s="46">
        <v>0</v>
      </c>
      <c r="K12" s="47">
        <v>0</v>
      </c>
      <c r="L12" s="46"/>
      <c r="M12" s="46">
        <v>11.870967741935484</v>
      </c>
      <c r="N12" s="46">
        <v>0</v>
      </c>
      <c r="O12" s="47">
        <v>0</v>
      </c>
      <c r="P12" s="48"/>
      <c r="Q12" s="49"/>
    </row>
    <row r="13" spans="2:17" x14ac:dyDescent="0.3">
      <c r="B13" s="40">
        <v>41589</v>
      </c>
      <c r="C13" s="41">
        <v>31.06451612903226</v>
      </c>
      <c r="D13" s="41">
        <v>18.322580645161292</v>
      </c>
      <c r="E13" s="42">
        <v>0.58473524368310126</v>
      </c>
      <c r="F13" s="42">
        <v>2.7741935483870966E-2</v>
      </c>
      <c r="G13" s="42">
        <v>0.47866666666666657</v>
      </c>
      <c r="H13" s="41"/>
      <c r="I13" s="41">
        <v>0</v>
      </c>
      <c r="J13" s="41">
        <v>0</v>
      </c>
      <c r="K13" s="42">
        <v>0</v>
      </c>
      <c r="L13" s="41"/>
      <c r="M13" s="41">
        <v>11.870967741935484</v>
      </c>
      <c r="N13" s="41">
        <v>0</v>
      </c>
      <c r="O13" s="42">
        <v>0</v>
      </c>
      <c r="P13" s="43"/>
      <c r="Q13" s="44"/>
    </row>
    <row r="14" spans="2:17" x14ac:dyDescent="0.3">
      <c r="B14" s="45">
        <v>41596</v>
      </c>
      <c r="C14" s="46">
        <v>31.129032258064516</v>
      </c>
      <c r="D14" s="46">
        <v>19.580645161290324</v>
      </c>
      <c r="E14" s="47">
        <v>0.62995452895840354</v>
      </c>
      <c r="F14" s="47">
        <v>2.7741935483870966E-2</v>
      </c>
      <c r="G14" s="47">
        <v>0.5003333333333333</v>
      </c>
      <c r="H14" s="46"/>
      <c r="I14" s="46">
        <v>0</v>
      </c>
      <c r="J14" s="46">
        <v>0</v>
      </c>
      <c r="K14" s="47">
        <v>0</v>
      </c>
      <c r="L14" s="46"/>
      <c r="M14" s="46">
        <v>12.258064516129032</v>
      </c>
      <c r="N14" s="46">
        <v>0.12903225806451613</v>
      </c>
      <c r="O14" s="47">
        <v>3.7037037037037035E-2</v>
      </c>
      <c r="P14" s="48"/>
      <c r="Q14" s="49"/>
    </row>
    <row r="15" spans="2:17" x14ac:dyDescent="0.3">
      <c r="B15" s="40">
        <v>41603</v>
      </c>
      <c r="C15" s="41">
        <v>31.64516129032258</v>
      </c>
      <c r="D15" s="41">
        <v>20.032258064516128</v>
      </c>
      <c r="E15" s="42">
        <v>0.63863236099290466</v>
      </c>
      <c r="F15" s="42">
        <v>2.7741935483870966E-2</v>
      </c>
      <c r="G15" s="42">
        <v>0.5003333333333333</v>
      </c>
      <c r="H15" s="41"/>
      <c r="I15" s="41">
        <v>0</v>
      </c>
      <c r="J15" s="41">
        <v>0</v>
      </c>
      <c r="K15" s="42">
        <v>0</v>
      </c>
      <c r="L15" s="41"/>
      <c r="M15" s="41">
        <v>15.32258064516129</v>
      </c>
      <c r="N15" s="41">
        <v>1.6774193548387097</v>
      </c>
      <c r="O15" s="42">
        <v>8.3859649122807009E-2</v>
      </c>
      <c r="P15" s="43"/>
      <c r="Q15" s="44"/>
    </row>
    <row r="16" spans="2:17" x14ac:dyDescent="0.3">
      <c r="B16" s="45">
        <v>41604</v>
      </c>
      <c r="C16" s="46">
        <v>32.12903225806452</v>
      </c>
      <c r="D16" s="46">
        <v>19.70967741935484</v>
      </c>
      <c r="E16" s="47">
        <v>0.63665260304778204</v>
      </c>
      <c r="F16" s="47">
        <v>2.7741935483870966E-2</v>
      </c>
      <c r="G16" s="47">
        <v>0.5003333333333333</v>
      </c>
      <c r="H16" s="46"/>
      <c r="I16" s="46">
        <v>0</v>
      </c>
      <c r="J16" s="46">
        <v>0</v>
      </c>
      <c r="K16" s="47">
        <v>0</v>
      </c>
      <c r="L16" s="46"/>
      <c r="M16" s="46">
        <v>16.225806451612904</v>
      </c>
      <c r="N16" s="46">
        <v>2.4516129032258065</v>
      </c>
      <c r="O16" s="47">
        <v>0.15235816814764183</v>
      </c>
      <c r="P16" s="48"/>
      <c r="Q16" s="49"/>
    </row>
    <row r="17" spans="2:17" x14ac:dyDescent="0.3">
      <c r="B17" s="40">
        <v>41607</v>
      </c>
      <c r="C17" s="41">
        <v>31.93548387096774</v>
      </c>
      <c r="D17" s="41">
        <v>20.516129032258064</v>
      </c>
      <c r="E17" s="42">
        <v>0.67063932026431283</v>
      </c>
      <c r="F17" s="42">
        <v>2.7741935483870966E-2</v>
      </c>
      <c r="G17" s="42">
        <v>0.47433333333333327</v>
      </c>
      <c r="H17" s="41"/>
      <c r="I17" s="41">
        <v>0</v>
      </c>
      <c r="J17" s="41">
        <v>0</v>
      </c>
      <c r="K17" s="42">
        <v>0</v>
      </c>
      <c r="L17" s="41"/>
      <c r="M17" s="41">
        <v>15.548387096774194</v>
      </c>
      <c r="N17" s="41">
        <v>2.5161290322580645</v>
      </c>
      <c r="O17" s="42">
        <v>0.13904761904761906</v>
      </c>
      <c r="P17" s="43"/>
      <c r="Q17" s="44"/>
    </row>
    <row r="18" spans="2:17" x14ac:dyDescent="0.3">
      <c r="B18" s="45">
        <v>41610</v>
      </c>
      <c r="C18" s="46">
        <v>31.967741935483872</v>
      </c>
      <c r="D18" s="46">
        <v>20.806451612903224</v>
      </c>
      <c r="E18" s="47">
        <v>0.67291684180519629</v>
      </c>
      <c r="F18" s="47">
        <v>2.7741935483870966E-2</v>
      </c>
      <c r="G18" s="47">
        <v>0.47433333333333327</v>
      </c>
      <c r="H18" s="46"/>
      <c r="I18" s="46">
        <v>0</v>
      </c>
      <c r="J18" s="46">
        <v>0</v>
      </c>
      <c r="K18" s="47">
        <v>0</v>
      </c>
      <c r="L18" s="46"/>
      <c r="M18" s="46">
        <v>15.709677419354838</v>
      </c>
      <c r="N18" s="46">
        <v>3.096774193548387</v>
      </c>
      <c r="O18" s="47">
        <v>0.15429487179487181</v>
      </c>
      <c r="P18" s="48"/>
      <c r="Q18" s="49"/>
    </row>
    <row r="19" spans="2:17" x14ac:dyDescent="0.3">
      <c r="B19" s="40">
        <v>41613</v>
      </c>
      <c r="C19" s="41">
        <v>34.193548387096776</v>
      </c>
      <c r="D19" s="41">
        <v>24.322580645161292</v>
      </c>
      <c r="E19" s="42">
        <v>0.58809226336042264</v>
      </c>
      <c r="F19" s="42">
        <v>2.7741935483870966E-2</v>
      </c>
      <c r="G19" s="42">
        <v>0.47433333333333327</v>
      </c>
      <c r="H19" s="41"/>
      <c r="I19" s="41">
        <v>9.6774193548387094E-2</v>
      </c>
      <c r="J19" s="41">
        <v>0</v>
      </c>
      <c r="K19" s="42">
        <v>0</v>
      </c>
      <c r="L19" s="41"/>
      <c r="M19" s="41">
        <v>16.258064516129032</v>
      </c>
      <c r="N19" s="41">
        <v>3.4193548387096775</v>
      </c>
      <c r="O19" s="42">
        <v>0.13939560439560442</v>
      </c>
      <c r="P19" s="43"/>
      <c r="Q19" s="44"/>
    </row>
    <row r="20" spans="2:17" x14ac:dyDescent="0.3">
      <c r="B20" s="45">
        <v>41617</v>
      </c>
      <c r="C20" s="46">
        <v>34.645161290322584</v>
      </c>
      <c r="D20" s="46">
        <v>24.612903225806452</v>
      </c>
      <c r="E20" s="47">
        <v>0.57804911785236357</v>
      </c>
      <c r="F20" s="47">
        <v>2.7741935483870966E-2</v>
      </c>
      <c r="G20" s="47">
        <v>0.48870967741935478</v>
      </c>
      <c r="H20" s="46"/>
      <c r="I20" s="46">
        <v>9.6774193548387094E-2</v>
      </c>
      <c r="J20" s="46">
        <v>0</v>
      </c>
      <c r="K20" s="47">
        <v>0</v>
      </c>
      <c r="L20" s="46"/>
      <c r="M20" s="46">
        <v>17.166666666666668</v>
      </c>
      <c r="N20" s="46">
        <v>4.166666666666667</v>
      </c>
      <c r="O20" s="47">
        <v>0.20858807858807857</v>
      </c>
      <c r="P20" s="48"/>
      <c r="Q20" s="49"/>
    </row>
    <row r="21" spans="2:17" x14ac:dyDescent="0.3">
      <c r="B21" s="40">
        <v>41618</v>
      </c>
      <c r="C21" s="41">
        <v>35.161290322580648</v>
      </c>
      <c r="D21" s="41">
        <v>24.612903225806452</v>
      </c>
      <c r="E21" s="42">
        <v>0.56702413938552465</v>
      </c>
      <c r="F21" s="42">
        <v>2.7741935483870966E-2</v>
      </c>
      <c r="G21" s="42">
        <v>0.48419354838709672</v>
      </c>
      <c r="H21" s="41"/>
      <c r="I21" s="41">
        <v>9.6774193548387094E-2</v>
      </c>
      <c r="J21" s="41">
        <v>0</v>
      </c>
      <c r="K21" s="42">
        <v>0</v>
      </c>
      <c r="L21" s="41"/>
      <c r="M21" s="41">
        <v>17.666666666666668</v>
      </c>
      <c r="N21" s="41">
        <v>4.166666666666667</v>
      </c>
      <c r="O21" s="42">
        <v>0.19468220668220668</v>
      </c>
      <c r="P21" s="43"/>
      <c r="Q21" s="44"/>
    </row>
    <row r="22" spans="2:17" x14ac:dyDescent="0.3">
      <c r="B22" s="45">
        <v>41631</v>
      </c>
      <c r="C22" s="46">
        <v>35.58064516129032</v>
      </c>
      <c r="D22" s="46">
        <v>26.870967741935484</v>
      </c>
      <c r="E22" s="47">
        <v>0.60032105261453594</v>
      </c>
      <c r="F22" s="47">
        <v>2.7741935483870966E-2</v>
      </c>
      <c r="G22" s="47">
        <v>0.48419354838709672</v>
      </c>
      <c r="H22" s="46"/>
      <c r="I22" s="46">
        <v>9.6774193548387094E-2</v>
      </c>
      <c r="J22" s="46">
        <v>0</v>
      </c>
      <c r="K22" s="47">
        <v>0</v>
      </c>
      <c r="L22" s="46"/>
      <c r="M22" s="46">
        <v>18.600000000000001</v>
      </c>
      <c r="N22" s="46">
        <v>6.0666666666666664</v>
      </c>
      <c r="O22" s="47">
        <v>0.25747863247863251</v>
      </c>
      <c r="P22" s="48"/>
      <c r="Q22" s="49"/>
    </row>
    <row r="23" spans="2:17" x14ac:dyDescent="0.3">
      <c r="B23" s="40">
        <v>41638</v>
      </c>
      <c r="C23" s="41">
        <v>35.935483870967744</v>
      </c>
      <c r="D23" s="41">
        <v>27.483870967741936</v>
      </c>
      <c r="E23" s="42">
        <v>0.64425878155226479</v>
      </c>
      <c r="F23" s="42">
        <v>2.7741935483870966E-2</v>
      </c>
      <c r="G23" s="42">
        <v>0.51322580645161286</v>
      </c>
      <c r="H23" s="41"/>
      <c r="I23" s="41">
        <v>9.6774193548387094E-2</v>
      </c>
      <c r="J23" s="41">
        <v>0</v>
      </c>
      <c r="K23" s="42">
        <v>0</v>
      </c>
      <c r="L23" s="41"/>
      <c r="M23" s="41">
        <v>18.833333333333332</v>
      </c>
      <c r="N23" s="41">
        <v>6.166666666666667</v>
      </c>
      <c r="O23" s="42">
        <v>0.26517094017094017</v>
      </c>
      <c r="P23" s="43"/>
      <c r="Q23" s="44"/>
    </row>
    <row r="24" spans="2:17" x14ac:dyDescent="0.3">
      <c r="B24" s="45">
        <v>41645</v>
      </c>
      <c r="C24" s="46">
        <v>36.516129032258064</v>
      </c>
      <c r="D24" s="46">
        <v>28.129032258064516</v>
      </c>
      <c r="E24" s="47">
        <v>0.64251097207686636</v>
      </c>
      <c r="F24" s="47">
        <v>2.7741935483870966E-2</v>
      </c>
      <c r="G24" s="47">
        <v>0.51919032258064524</v>
      </c>
      <c r="H24" s="46"/>
      <c r="I24" s="46">
        <v>9.6774193548387094E-2</v>
      </c>
      <c r="J24" s="46">
        <v>0</v>
      </c>
      <c r="K24" s="47">
        <v>0</v>
      </c>
      <c r="L24" s="46"/>
      <c r="M24" s="46">
        <v>19.633333333333333</v>
      </c>
      <c r="N24" s="46">
        <v>7.833333333333333</v>
      </c>
      <c r="O24" s="47">
        <v>0.367684766214178</v>
      </c>
      <c r="P24" s="48"/>
      <c r="Q24" s="49"/>
    </row>
    <row r="25" spans="2:17" x14ac:dyDescent="0.3">
      <c r="B25" s="40">
        <v>41646</v>
      </c>
      <c r="C25" s="41">
        <v>38.299999999999997</v>
      </c>
      <c r="D25" s="41">
        <v>34.166666666666664</v>
      </c>
      <c r="E25" s="42">
        <v>0.84623705636371749</v>
      </c>
      <c r="F25" s="42">
        <v>6.0357142857142852E-2</v>
      </c>
      <c r="G25" s="42">
        <v>0.59127586206896554</v>
      </c>
      <c r="H25" s="41"/>
      <c r="I25" s="41">
        <v>0.1</v>
      </c>
      <c r="J25" s="41">
        <v>0</v>
      </c>
      <c r="K25" s="42">
        <v>0</v>
      </c>
      <c r="L25" s="41"/>
      <c r="M25" s="41">
        <v>23.74074074074074</v>
      </c>
      <c r="N25" s="41">
        <v>11.407407407407407</v>
      </c>
      <c r="O25" s="42">
        <v>0.58245564892623714</v>
      </c>
      <c r="P25" s="43"/>
      <c r="Q25" s="44"/>
    </row>
    <row r="26" spans="2:17" x14ac:dyDescent="0.3">
      <c r="B26" s="45">
        <v>41648</v>
      </c>
      <c r="C26" s="46">
        <v>38.9</v>
      </c>
      <c r="D26" s="46">
        <v>35.333333333333336</v>
      </c>
      <c r="E26" s="47">
        <v>0.88820962401531556</v>
      </c>
      <c r="F26" s="47">
        <v>0.16071538461538459</v>
      </c>
      <c r="G26" s="47">
        <v>0.72753846153846158</v>
      </c>
      <c r="H26" s="46"/>
      <c r="I26" s="46">
        <v>0.1</v>
      </c>
      <c r="J26" s="46">
        <v>0</v>
      </c>
      <c r="K26" s="47">
        <v>0</v>
      </c>
      <c r="L26" s="46"/>
      <c r="M26" s="46">
        <v>25.6</v>
      </c>
      <c r="N26" s="46">
        <v>12.2</v>
      </c>
      <c r="O26" s="47">
        <v>0.55096144340088982</v>
      </c>
      <c r="P26" s="48"/>
      <c r="Q26" s="49"/>
    </row>
    <row r="27" spans="2:17" x14ac:dyDescent="0.3">
      <c r="B27" s="40">
        <v>41652</v>
      </c>
      <c r="C27" s="41">
        <v>38.93333333333333</v>
      </c>
      <c r="D27" s="41">
        <v>36.56666666666667</v>
      </c>
      <c r="E27" s="42">
        <v>0.91096846239915386</v>
      </c>
      <c r="F27" s="42">
        <v>0.46806956521739135</v>
      </c>
      <c r="G27" s="42">
        <v>0.7640769230769231</v>
      </c>
      <c r="H27" s="41"/>
      <c r="I27" s="41">
        <v>0.1</v>
      </c>
      <c r="J27" s="41">
        <v>0</v>
      </c>
      <c r="K27" s="42">
        <v>0</v>
      </c>
      <c r="L27" s="41"/>
      <c r="M27" s="41">
        <v>30.952380952380953</v>
      </c>
      <c r="N27" s="41">
        <v>14.619047619047619</v>
      </c>
      <c r="O27" s="42">
        <v>0.55994698007572741</v>
      </c>
      <c r="P27" s="43"/>
      <c r="Q27" s="44"/>
    </row>
    <row r="28" spans="2:17" x14ac:dyDescent="0.3">
      <c r="B28" s="45">
        <v>41653</v>
      </c>
      <c r="C28" s="46">
        <v>39.06666666666667</v>
      </c>
      <c r="D28" s="46">
        <v>36.93333333333333</v>
      </c>
      <c r="E28" s="47">
        <v>0.91823698091767247</v>
      </c>
      <c r="F28" s="47">
        <v>0.75846521739130424</v>
      </c>
      <c r="G28" s="47">
        <v>0.82177307692307677</v>
      </c>
      <c r="H28" s="46"/>
      <c r="I28" s="46">
        <v>0.1</v>
      </c>
      <c r="J28" s="46">
        <v>0</v>
      </c>
      <c r="K28" s="47">
        <v>0</v>
      </c>
      <c r="L28" s="46"/>
      <c r="M28" s="46">
        <v>30.952380952380953</v>
      </c>
      <c r="N28" s="46">
        <v>15</v>
      </c>
      <c r="O28" s="47">
        <v>0.58072834525337735</v>
      </c>
      <c r="P28" s="48"/>
      <c r="Q28" s="49"/>
    </row>
    <row r="29" spans="2:17" x14ac:dyDescent="0.3">
      <c r="B29" s="40">
        <v>41659</v>
      </c>
      <c r="C29" s="41">
        <v>39.299999999999997</v>
      </c>
      <c r="D29" s="41">
        <v>37.200000000000003</v>
      </c>
      <c r="E29" s="42">
        <v>0.91871156334323534</v>
      </c>
      <c r="F29" s="42">
        <v>0.82683636363636348</v>
      </c>
      <c r="G29" s="42">
        <v>0.83819615384615365</v>
      </c>
      <c r="H29" s="41"/>
      <c r="I29" s="41">
        <v>0.1</v>
      </c>
      <c r="J29" s="41">
        <v>0</v>
      </c>
      <c r="K29" s="42">
        <v>0</v>
      </c>
      <c r="L29" s="41"/>
      <c r="M29" s="41">
        <v>31.65</v>
      </c>
      <c r="N29" s="41">
        <v>16.5</v>
      </c>
      <c r="O29" s="42">
        <v>0.59414182475158084</v>
      </c>
      <c r="P29" s="43"/>
      <c r="Q29" s="44"/>
    </row>
    <row r="30" spans="2:17" x14ac:dyDescent="0.3">
      <c r="B30" s="45">
        <v>41660</v>
      </c>
      <c r="C30" s="46">
        <v>39.43333333333333</v>
      </c>
      <c r="D30" s="46">
        <v>37.333333333333336</v>
      </c>
      <c r="E30" s="47">
        <v>0.93098148477982334</v>
      </c>
      <c r="F30" s="47">
        <v>0.86620952380952365</v>
      </c>
      <c r="G30" s="47">
        <v>0.87172399999999983</v>
      </c>
      <c r="H30" s="46"/>
      <c r="I30" s="46">
        <v>0.1</v>
      </c>
      <c r="J30" s="46">
        <v>0</v>
      </c>
      <c r="K30" s="47">
        <v>0</v>
      </c>
      <c r="L30" s="46"/>
      <c r="M30" s="46">
        <v>33.473684210526315</v>
      </c>
      <c r="N30" s="46">
        <v>17.684210526315791</v>
      </c>
      <c r="O30" s="47">
        <v>0.66690095588840503</v>
      </c>
      <c r="P30" s="48"/>
      <c r="Q30" s="49"/>
    </row>
    <row r="31" spans="2:17" x14ac:dyDescent="0.3">
      <c r="B31" s="40">
        <v>41662</v>
      </c>
      <c r="C31" s="41">
        <v>41.3</v>
      </c>
      <c r="D31" s="41">
        <v>38.6</v>
      </c>
      <c r="E31" s="42">
        <v>0.93998360800837799</v>
      </c>
      <c r="F31" s="42">
        <v>0.90032857142857126</v>
      </c>
      <c r="G31" s="42">
        <v>0.90019199999999988</v>
      </c>
      <c r="H31" s="41"/>
      <c r="I31" s="41">
        <v>0.1</v>
      </c>
      <c r="J31" s="41">
        <v>0</v>
      </c>
      <c r="K31" s="42">
        <v>0</v>
      </c>
      <c r="L31" s="41"/>
      <c r="M31" s="41">
        <v>25.05263157894737</v>
      </c>
      <c r="N31" s="41">
        <v>20.894736842105264</v>
      </c>
      <c r="O31" s="42">
        <v>0.72485908447006853</v>
      </c>
      <c r="P31" s="43"/>
      <c r="Q31" s="44"/>
    </row>
    <row r="32" spans="2:17" x14ac:dyDescent="0.3">
      <c r="B32" s="45">
        <v>41674</v>
      </c>
      <c r="C32" s="46">
        <v>41.633333333333333</v>
      </c>
      <c r="D32" s="46">
        <v>38.966666666666669</v>
      </c>
      <c r="E32" s="47">
        <v>0.93857019433036082</v>
      </c>
      <c r="F32" s="47">
        <v>0.90032857142857126</v>
      </c>
      <c r="G32" s="47">
        <v>0.90019199999999988</v>
      </c>
      <c r="H32" s="46"/>
      <c r="I32" s="46">
        <v>0.1</v>
      </c>
      <c r="J32" s="46">
        <v>0</v>
      </c>
      <c r="K32" s="47">
        <v>0</v>
      </c>
      <c r="L32" s="46"/>
      <c r="M32" s="46">
        <v>25.473684210526315</v>
      </c>
      <c r="N32" s="46">
        <v>21.94736842105263</v>
      </c>
      <c r="O32" s="47">
        <v>0.86759792457732976</v>
      </c>
      <c r="P32" s="48"/>
      <c r="Q32" s="49"/>
    </row>
    <row r="33" spans="2:17" x14ac:dyDescent="0.3">
      <c r="B33" s="40">
        <v>41676</v>
      </c>
      <c r="C33" s="41">
        <v>41.766666666666666</v>
      </c>
      <c r="D33" s="41">
        <v>39.5</v>
      </c>
      <c r="E33" s="42">
        <v>0.94503465511467455</v>
      </c>
      <c r="F33" s="42">
        <v>0.90032857142857126</v>
      </c>
      <c r="G33" s="42">
        <v>0.90019199999999988</v>
      </c>
      <c r="H33" s="41"/>
      <c r="I33" s="41">
        <v>0.1</v>
      </c>
      <c r="J33" s="41">
        <v>0</v>
      </c>
      <c r="K33" s="42">
        <v>0</v>
      </c>
      <c r="L33" s="41"/>
      <c r="M33" s="41">
        <v>25.631578947368421</v>
      </c>
      <c r="N33" s="41">
        <v>23.789473684210527</v>
      </c>
      <c r="O33" s="42">
        <v>0.89375891528940399</v>
      </c>
      <c r="P33" s="43"/>
      <c r="Q33" s="44"/>
    </row>
    <row r="34" spans="2:17" x14ac:dyDescent="0.3">
      <c r="B34" s="45">
        <v>41681</v>
      </c>
      <c r="C34" s="46">
        <v>42.866666666666667</v>
      </c>
      <c r="D34" s="46">
        <v>40.466666666666669</v>
      </c>
      <c r="E34" s="47">
        <v>0.94579223087225028</v>
      </c>
      <c r="F34" s="47">
        <v>0.90032857142857126</v>
      </c>
      <c r="G34" s="47">
        <v>0.90019199999999988</v>
      </c>
      <c r="H34" s="46"/>
      <c r="I34" s="46">
        <v>0.1</v>
      </c>
      <c r="J34" s="46">
        <v>0</v>
      </c>
      <c r="K34" s="47">
        <v>0</v>
      </c>
      <c r="L34" s="46"/>
      <c r="M34" s="46">
        <v>28.842105263157894</v>
      </c>
      <c r="N34" s="46">
        <v>27</v>
      </c>
      <c r="O34" s="47">
        <v>0.90255552317741039</v>
      </c>
      <c r="P34" s="48"/>
      <c r="Q34" s="49"/>
    </row>
    <row r="35" spans="2:17" x14ac:dyDescent="0.3">
      <c r="B35" s="40">
        <v>41688</v>
      </c>
      <c r="C35" s="41">
        <v>43.333333333333336</v>
      </c>
      <c r="D35" s="41">
        <v>40.9</v>
      </c>
      <c r="E35" s="42">
        <v>0.95569039855995253</v>
      </c>
      <c r="F35" s="42">
        <v>0.90032857142857126</v>
      </c>
      <c r="G35" s="42">
        <v>0.90019199999999988</v>
      </c>
      <c r="H35" s="41"/>
      <c r="I35" s="41">
        <v>0.1</v>
      </c>
      <c r="J35" s="41">
        <v>0</v>
      </c>
      <c r="K35" s="42">
        <v>0</v>
      </c>
      <c r="L35" s="41"/>
      <c r="M35" s="41">
        <v>31.105263157894736</v>
      </c>
      <c r="N35" s="41">
        <v>27.842105263157894</v>
      </c>
      <c r="O35" s="42">
        <v>0.91733454703790951</v>
      </c>
      <c r="P35" s="43"/>
      <c r="Q35" s="44"/>
    </row>
    <row r="36" spans="2:17" x14ac:dyDescent="0.3">
      <c r="B36" s="45">
        <v>41691</v>
      </c>
      <c r="C36" s="46">
        <v>43.333333333333336</v>
      </c>
      <c r="D36" s="46">
        <v>41.033333333333331</v>
      </c>
      <c r="E36" s="47">
        <v>0.96203960490915885</v>
      </c>
      <c r="F36" s="47">
        <v>0.90032857142857126</v>
      </c>
      <c r="G36" s="47">
        <v>0.90019199999999988</v>
      </c>
      <c r="H36" s="46"/>
      <c r="I36" s="46">
        <v>0.1</v>
      </c>
      <c r="J36" s="46">
        <v>0</v>
      </c>
      <c r="K36" s="47">
        <v>0</v>
      </c>
      <c r="L36" s="46"/>
      <c r="M36" s="46">
        <v>31.105263157894736</v>
      </c>
      <c r="N36" s="46">
        <v>27.842105263157894</v>
      </c>
      <c r="O36" s="47">
        <v>0.91733454703790951</v>
      </c>
      <c r="P36" s="48"/>
      <c r="Q36" s="49"/>
    </row>
    <row r="37" spans="2:17" x14ac:dyDescent="0.3">
      <c r="B37" s="40">
        <v>41695</v>
      </c>
      <c r="C37" s="41">
        <v>43.366666666666667</v>
      </c>
      <c r="D37" s="41">
        <v>41.266666666666666</v>
      </c>
      <c r="E37" s="42">
        <v>0.96501518528155439</v>
      </c>
      <c r="F37" s="42">
        <v>0.90270952380952374</v>
      </c>
      <c r="G37" s="42">
        <v>0.90219199999999988</v>
      </c>
      <c r="H37" s="41"/>
      <c r="I37" s="41">
        <v>0.1</v>
      </c>
      <c r="J37" s="41">
        <v>0</v>
      </c>
      <c r="K37" s="42">
        <v>0</v>
      </c>
      <c r="L37" s="41"/>
      <c r="M37" s="41">
        <v>32.421052631578945</v>
      </c>
      <c r="N37" s="41">
        <v>28.894736842105264</v>
      </c>
      <c r="O37" s="42">
        <v>0.92676372874731283</v>
      </c>
      <c r="P37" s="43"/>
      <c r="Q37" s="44"/>
    </row>
    <row r="38" spans="2:17" x14ac:dyDescent="0.3">
      <c r="B38" s="45">
        <v>41698</v>
      </c>
      <c r="C38" s="46">
        <v>43.43333333333333</v>
      </c>
      <c r="D38" s="46">
        <v>41.4</v>
      </c>
      <c r="E38" s="47">
        <v>0.96709851861488771</v>
      </c>
      <c r="F38" s="47">
        <v>0.90270952380952374</v>
      </c>
      <c r="G38" s="47">
        <v>0.90219199999999988</v>
      </c>
      <c r="H38" s="46"/>
      <c r="I38" s="46">
        <v>0.1</v>
      </c>
      <c r="J38" s="46">
        <v>0</v>
      </c>
      <c r="K38" s="47">
        <v>0</v>
      </c>
      <c r="L38" s="46"/>
      <c r="M38" s="46">
        <v>32.263157894736842</v>
      </c>
      <c r="N38" s="46">
        <v>29.210526315789473</v>
      </c>
      <c r="O38" s="47">
        <v>0.9323138306879607</v>
      </c>
      <c r="P38" s="48"/>
      <c r="Q38" s="49"/>
    </row>
    <row r="39" spans="2:17" x14ac:dyDescent="0.3">
      <c r="B39" s="40">
        <v>41704</v>
      </c>
      <c r="C39" s="41">
        <v>43.4</v>
      </c>
      <c r="D39" s="41">
        <v>41.633333333333333</v>
      </c>
      <c r="E39" s="42">
        <v>0.98159605714041853</v>
      </c>
      <c r="F39" s="42">
        <v>0.90270952380952374</v>
      </c>
      <c r="G39" s="42">
        <v>0.86539199999999983</v>
      </c>
      <c r="H39" s="41"/>
      <c r="I39" s="41">
        <v>0.10344827586206896</v>
      </c>
      <c r="J39" s="41">
        <v>0</v>
      </c>
      <c r="K39" s="42">
        <v>0</v>
      </c>
      <c r="L39" s="41"/>
      <c r="M39" s="41">
        <v>31.421052631578949</v>
      </c>
      <c r="N39" s="41">
        <v>29.684210526315791</v>
      </c>
      <c r="O39" s="42">
        <v>0.95007424245082051</v>
      </c>
      <c r="P39" s="43"/>
      <c r="Q39" s="44"/>
    </row>
    <row r="40" spans="2:17" x14ac:dyDescent="0.3">
      <c r="B40" s="45">
        <v>41710</v>
      </c>
      <c r="C40" s="46">
        <v>44.466666666666669</v>
      </c>
      <c r="D40" s="46">
        <v>42.3</v>
      </c>
      <c r="E40" s="47">
        <v>0.98065881922551357</v>
      </c>
      <c r="F40" s="47">
        <v>0.90270952380952374</v>
      </c>
      <c r="G40" s="47">
        <v>0.90144999999999975</v>
      </c>
      <c r="H40" s="46"/>
      <c r="I40" s="46">
        <v>0.10344827586206896</v>
      </c>
      <c r="J40" s="46">
        <v>0</v>
      </c>
      <c r="K40" s="47">
        <v>0</v>
      </c>
      <c r="L40" s="46"/>
      <c r="M40" s="46">
        <v>31.368421052631579</v>
      </c>
      <c r="N40" s="46">
        <v>29.684210526315791</v>
      </c>
      <c r="O40" s="47">
        <v>0.95059880968285393</v>
      </c>
      <c r="P40" s="48"/>
      <c r="Q40" s="49"/>
    </row>
    <row r="41" spans="2:17" x14ac:dyDescent="0.3">
      <c r="B41" s="40">
        <v>41712</v>
      </c>
      <c r="C41" s="41">
        <v>44.3</v>
      </c>
      <c r="D41" s="41">
        <v>41.7</v>
      </c>
      <c r="E41" s="42">
        <v>0.97390030577791942</v>
      </c>
      <c r="F41" s="42">
        <v>0.90270952380952374</v>
      </c>
      <c r="G41" s="42">
        <v>0.90144999999999975</v>
      </c>
      <c r="H41" s="41"/>
      <c r="I41" s="41">
        <v>0.10344827586206896</v>
      </c>
      <c r="J41" s="41">
        <v>0</v>
      </c>
      <c r="K41" s="42">
        <v>0</v>
      </c>
      <c r="L41" s="41"/>
      <c r="M41" s="41">
        <v>32.200000000000003</v>
      </c>
      <c r="N41" s="41">
        <v>29.45</v>
      </c>
      <c r="O41" s="42">
        <v>0.92911053586537784</v>
      </c>
      <c r="P41" s="43"/>
      <c r="Q41" s="44"/>
    </row>
    <row r="42" spans="2:17" x14ac:dyDescent="0.3">
      <c r="B42" s="45">
        <v>41719</v>
      </c>
      <c r="C42" s="46">
        <v>44.633333333333333</v>
      </c>
      <c r="D42" s="46">
        <v>42.5</v>
      </c>
      <c r="E42" s="47">
        <v>0.98013370074377937</v>
      </c>
      <c r="F42" s="47">
        <v>0.90270952380952374</v>
      </c>
      <c r="G42" s="47">
        <v>0.90144999999999975</v>
      </c>
      <c r="H42" s="46"/>
      <c r="I42" s="46">
        <v>0.10344827586206896</v>
      </c>
      <c r="J42" s="46">
        <v>0</v>
      </c>
      <c r="K42" s="47">
        <v>0</v>
      </c>
      <c r="L42" s="46"/>
      <c r="M42" s="46">
        <v>32.25</v>
      </c>
      <c r="N42" s="46">
        <v>29.85</v>
      </c>
      <c r="O42" s="47">
        <v>0.93791452257634145</v>
      </c>
      <c r="P42" s="48"/>
      <c r="Q42" s="49"/>
    </row>
    <row r="43" spans="2:17" x14ac:dyDescent="0.3">
      <c r="B43" s="40">
        <v>41719</v>
      </c>
      <c r="C43" s="41">
        <v>44.633333333333333</v>
      </c>
      <c r="D43" s="41">
        <v>42.56666666666667</v>
      </c>
      <c r="E43" s="42">
        <v>0.98084292060193534</v>
      </c>
      <c r="F43" s="42">
        <v>0.90270952380952374</v>
      </c>
      <c r="G43" s="42">
        <v>0.90144999999999975</v>
      </c>
      <c r="H43" s="41"/>
      <c r="I43" s="41">
        <v>0.10344827586206896</v>
      </c>
      <c r="J43" s="41">
        <v>0</v>
      </c>
      <c r="K43" s="42">
        <v>0</v>
      </c>
      <c r="L43" s="41"/>
      <c r="M43" s="41">
        <v>32.25</v>
      </c>
      <c r="N43" s="41">
        <v>29.85</v>
      </c>
      <c r="O43" s="42">
        <v>0.93791452257634145</v>
      </c>
      <c r="P43" s="43"/>
      <c r="Q43" s="44"/>
    </row>
    <row r="44" spans="2:17" x14ac:dyDescent="0.3">
      <c r="B44" s="45">
        <f>'임시_Summary(v1)'!$D$3</f>
        <v>41733</v>
      </c>
      <c r="C44" s="46" t="e">
        <f>'임시_Summary(v1)'!$F$40</f>
        <v>#REF!</v>
      </c>
      <c r="D44" s="46" t="e">
        <f>'임시_Summary(v1)'!$G$40</f>
        <v>#REF!</v>
      </c>
      <c r="E44" s="47" t="e">
        <f>'임시_Summary(v1)'!$H$40</f>
        <v>#REF!</v>
      </c>
      <c r="F44" s="47" t="e">
        <f>'임시_Summary(v1)'!$I$40</f>
        <v>#REF!</v>
      </c>
      <c r="G44" s="47" t="e">
        <f>'임시_Summary(v1)'!$J$40</f>
        <v>#REF!</v>
      </c>
      <c r="H44" s="46"/>
      <c r="I44" s="46" t="e">
        <f>'임시_Summary(v1)'!$L$40</f>
        <v>#REF!</v>
      </c>
      <c r="J44" s="46" t="e">
        <f>'임시_Summary(v1)'!$M$40</f>
        <v>#REF!</v>
      </c>
      <c r="K44" s="47" t="e">
        <f>'임시_Summary(v1)'!$N$40</f>
        <v>#REF!</v>
      </c>
      <c r="L44" s="46"/>
      <c r="M44" s="46" t="e">
        <f>'임시_Summary(v1)'!$P$40</f>
        <v>#REF!</v>
      </c>
      <c r="N44" s="46" t="e">
        <f>'임시_Summary(v1)'!$Q$40</f>
        <v>#REF!</v>
      </c>
      <c r="O44" s="47" t="e">
        <f>'임시_Summary(v1)'!$R$40</f>
        <v>#REF!</v>
      </c>
      <c r="P44" s="48"/>
      <c r="Q44" s="49"/>
    </row>
  </sheetData>
  <mergeCells count="7">
    <mergeCell ref="B4:B6"/>
    <mergeCell ref="C4:L4"/>
    <mergeCell ref="M4:P5"/>
    <mergeCell ref="Q4:Q6"/>
    <mergeCell ref="C5:H5"/>
    <mergeCell ref="I5:L5"/>
    <mergeCell ref="F6:G6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2049" r:id="rId4">
          <objectPr defaultSize="0" r:id="rId5">
            <anchor moveWithCells="1" sizeWithCells="1">
              <from>
                <xdr:col>16</xdr:col>
                <xdr:colOff>1600200</xdr:colOff>
                <xdr:row>0</xdr:row>
                <xdr:rowOff>0</xdr:rowOff>
              </from>
              <to>
                <xdr:col>16</xdr:col>
                <xdr:colOff>2781300</xdr:colOff>
                <xdr:row>3</xdr:row>
                <xdr:rowOff>0</xdr:rowOff>
              </to>
            </anchor>
          </objectPr>
        </oleObject>
      </mc:Choice>
      <mc:Fallback>
        <oleObject progId="Visio.Drawing.11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Chart 1 - Graph</vt:lpstr>
      <vt:lpstr>Chart 1 - data</vt:lpstr>
      <vt:lpstr>Chart 1 - Graph (2)</vt:lpstr>
      <vt:lpstr>Chart 2 - Data</vt:lpstr>
      <vt:lpstr>Cover</vt:lpstr>
      <vt:lpstr>VerificationStatusSummary</vt:lpstr>
      <vt:lpstr>VerificationStatusHistory</vt:lpstr>
      <vt:lpstr>Statistics</vt:lpstr>
      <vt:lpstr>Statistics_temp</vt:lpstr>
      <vt:lpstr>Table</vt:lpstr>
      <vt:lpstr>ValidationStatusSummary</vt:lpstr>
      <vt:lpstr>ValidationStatusHistory</vt:lpstr>
      <vt:lpstr>Doc.revision</vt:lpstr>
      <vt:lpstr>임시_Summary(v1)</vt:lpstr>
      <vt:lpstr>임시_history(v1)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신동재</dc:creator>
  <cp:lastModifiedBy>신동운(SHIN DONGWOON) 경영정보3</cp:lastModifiedBy>
  <dcterms:created xsi:type="dcterms:W3CDTF">2012-06-11T06:43:17Z</dcterms:created>
  <dcterms:modified xsi:type="dcterms:W3CDTF">2015-09-02T05:57:47Z</dcterms:modified>
</cp:coreProperties>
</file>