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embeddings/oleObject4.bin" ContentType="application/vnd.openxmlformats-officedocument.oleObject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5.xml" ContentType="application/vnd.openxmlformats-officedocument.drawing+xml"/>
  <Override PartName="/xl/embeddings/oleObject5.bin" ContentType="application/vnd.openxmlformats-officedocument.oleObject"/>
  <Override PartName="/xl/drawings/drawing6.xml" ContentType="application/vnd.openxmlformats-officedocument.drawing+xml"/>
  <Override PartName="/xl/embeddings/oleObject6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cho\Downloads\"/>
    </mc:Choice>
  </mc:AlternateContent>
  <bookViews>
    <workbookView xWindow="15" yWindow="16350" windowWidth="25440" windowHeight="12525" tabRatio="673"/>
  </bookViews>
  <sheets>
    <sheet name="Summary" sheetId="6" r:id="rId1"/>
    <sheet name="StatusHistory" sheetId="7" r:id="rId2"/>
    <sheet name="Statistics_forConfluence" sheetId="13" r:id="rId3"/>
    <sheet name="Statistics_temp" sheetId="8" r:id="rId4"/>
    <sheet name="Statistic_Table" sheetId="12" r:id="rId5"/>
    <sheet name="Doc.revision" sheetId="11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calcPr calcId="152511"/>
  <fileRecoveryPr autoRecover="0"/>
</workbook>
</file>

<file path=xl/calcChain.xml><?xml version="1.0" encoding="utf-8"?>
<calcChain xmlns="http://schemas.openxmlformats.org/spreadsheetml/2006/main">
  <c r="AG15" i="12" l="1"/>
  <c r="AF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AK16" i="6"/>
  <c r="AJ16" i="6"/>
  <c r="AI16" i="6"/>
  <c r="AH16" i="6"/>
  <c r="AG16" i="6"/>
  <c r="AE16" i="6"/>
  <c r="AD16" i="6"/>
  <c r="AC16" i="6"/>
  <c r="AB16" i="6"/>
  <c r="Z16" i="6"/>
  <c r="Y16" i="6"/>
  <c r="X16" i="6"/>
  <c r="W16" i="6"/>
  <c r="U16" i="6"/>
  <c r="T16" i="6"/>
  <c r="S16" i="6"/>
  <c r="R16" i="6"/>
  <c r="P16" i="6"/>
  <c r="O16" i="6"/>
  <c r="N16" i="6"/>
  <c r="M16" i="6"/>
  <c r="L16" i="6"/>
  <c r="K16" i="6"/>
  <c r="J16" i="6"/>
  <c r="I16" i="6"/>
  <c r="H16" i="6"/>
  <c r="G16" i="6"/>
  <c r="E16" i="6"/>
  <c r="D16" i="6"/>
  <c r="C16" i="6"/>
  <c r="AB10" i="7" l="1"/>
  <c r="AB9" i="7" l="1"/>
  <c r="AB8" i="7" l="1"/>
  <c r="AB7" i="7"/>
  <c r="AG25" i="12" l="1"/>
  <c r="AF25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AG30" i="12"/>
  <c r="AF30" i="12"/>
  <c r="AE30" i="12"/>
  <c r="AD30" i="12"/>
  <c r="AC30" i="12"/>
  <c r="AB30" i="12"/>
  <c r="AA30" i="12"/>
  <c r="Z30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AG29" i="12"/>
  <c r="AF29" i="12"/>
  <c r="AE29" i="12"/>
  <c r="AD29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AG27" i="12"/>
  <c r="AF27" i="12"/>
  <c r="AE27" i="12"/>
  <c r="AD27" i="12"/>
  <c r="AC27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AG26" i="12"/>
  <c r="AF26" i="12"/>
  <c r="AE26" i="12"/>
  <c r="AD26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AG24" i="12"/>
  <c r="AF24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AG23" i="12"/>
  <c r="AF23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AG22" i="12"/>
  <c r="AF22" i="12"/>
  <c r="AE22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AG21" i="12"/>
  <c r="AF21" i="12"/>
  <c r="AE21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AG17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AG14" i="12"/>
  <c r="AF14" i="12"/>
  <c r="AE14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AG13" i="12"/>
  <c r="AF13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AG12" i="12"/>
  <c r="AF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AG10" i="12"/>
  <c r="AF10" i="12"/>
  <c r="AE10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AG9" i="12"/>
  <c r="AF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AG8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AG7" i="12"/>
  <c r="AF7" i="12"/>
  <c r="AE7" i="12"/>
  <c r="AD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AG5" i="12"/>
  <c r="AF5" i="12"/>
  <c r="AE5" i="12"/>
  <c r="AD5" i="12"/>
  <c r="AC5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E32" i="6" l="1"/>
  <c r="D32" i="6"/>
  <c r="C32" i="6"/>
  <c r="AK31" i="6"/>
  <c r="AJ31" i="6"/>
  <c r="AI31" i="6"/>
  <c r="AH31" i="6"/>
  <c r="AG31" i="6"/>
  <c r="AE31" i="6"/>
  <c r="AD31" i="6"/>
  <c r="AC31" i="6"/>
  <c r="AB31" i="6"/>
  <c r="Z31" i="6"/>
  <c r="Y31" i="6"/>
  <c r="X31" i="6"/>
  <c r="W31" i="6"/>
  <c r="U31" i="6"/>
  <c r="T31" i="6"/>
  <c r="S31" i="6"/>
  <c r="R31" i="6"/>
  <c r="P31" i="6"/>
  <c r="O31" i="6"/>
  <c r="N31" i="6"/>
  <c r="M31" i="6"/>
  <c r="L31" i="6"/>
  <c r="K31" i="6"/>
  <c r="J31" i="6"/>
  <c r="I31" i="6"/>
  <c r="H31" i="6"/>
  <c r="G31" i="6"/>
  <c r="E31" i="6"/>
  <c r="D31" i="6"/>
  <c r="C31" i="6"/>
  <c r="AK30" i="6"/>
  <c r="AJ30" i="6"/>
  <c r="AI30" i="6"/>
  <c r="AH30" i="6"/>
  <c r="AG30" i="6"/>
  <c r="AE30" i="6"/>
  <c r="AD30" i="6"/>
  <c r="AC30" i="6"/>
  <c r="AB30" i="6"/>
  <c r="Z30" i="6"/>
  <c r="Y30" i="6"/>
  <c r="X30" i="6"/>
  <c r="W30" i="6"/>
  <c r="U30" i="6"/>
  <c r="T30" i="6"/>
  <c r="S30" i="6"/>
  <c r="R30" i="6"/>
  <c r="P30" i="6"/>
  <c r="O30" i="6"/>
  <c r="N30" i="6"/>
  <c r="M30" i="6"/>
  <c r="L30" i="6"/>
  <c r="K30" i="6"/>
  <c r="J30" i="6"/>
  <c r="I30" i="6"/>
  <c r="H30" i="6"/>
  <c r="G30" i="6"/>
  <c r="E30" i="6"/>
  <c r="D30" i="6"/>
  <c r="C30" i="6"/>
  <c r="AK29" i="6"/>
  <c r="AJ29" i="6"/>
  <c r="AI29" i="6"/>
  <c r="AH29" i="6"/>
  <c r="AG29" i="6"/>
  <c r="AE29" i="6"/>
  <c r="AD29" i="6"/>
  <c r="AC29" i="6"/>
  <c r="AB29" i="6"/>
  <c r="Z29" i="6"/>
  <c r="Y29" i="6"/>
  <c r="X29" i="6"/>
  <c r="W29" i="6"/>
  <c r="U29" i="6"/>
  <c r="T29" i="6"/>
  <c r="S29" i="6"/>
  <c r="R29" i="6"/>
  <c r="P29" i="6"/>
  <c r="O29" i="6"/>
  <c r="N29" i="6"/>
  <c r="M29" i="6"/>
  <c r="L29" i="6"/>
  <c r="K29" i="6"/>
  <c r="J29" i="6"/>
  <c r="I29" i="6"/>
  <c r="H29" i="6"/>
  <c r="G29" i="6"/>
  <c r="E29" i="6"/>
  <c r="D29" i="6"/>
  <c r="C29" i="6"/>
  <c r="AK28" i="6"/>
  <c r="AJ28" i="6"/>
  <c r="AI28" i="6"/>
  <c r="AH28" i="6"/>
  <c r="AG28" i="6"/>
  <c r="AE28" i="6"/>
  <c r="AD28" i="6"/>
  <c r="AC28" i="6"/>
  <c r="AB28" i="6"/>
  <c r="Z28" i="6"/>
  <c r="Y28" i="6"/>
  <c r="X28" i="6"/>
  <c r="W28" i="6"/>
  <c r="U28" i="6"/>
  <c r="T28" i="6"/>
  <c r="S28" i="6"/>
  <c r="R28" i="6"/>
  <c r="P28" i="6"/>
  <c r="O28" i="6"/>
  <c r="N28" i="6"/>
  <c r="M28" i="6"/>
  <c r="L28" i="6"/>
  <c r="K28" i="6"/>
  <c r="J28" i="6"/>
  <c r="I28" i="6"/>
  <c r="H28" i="6"/>
  <c r="G28" i="6"/>
  <c r="E28" i="6"/>
  <c r="D28" i="6"/>
  <c r="C28" i="6"/>
  <c r="AK27" i="6"/>
  <c r="AJ27" i="6"/>
  <c r="AI27" i="6"/>
  <c r="AH27" i="6"/>
  <c r="AG27" i="6"/>
  <c r="AE27" i="6"/>
  <c r="AD27" i="6"/>
  <c r="AC27" i="6"/>
  <c r="AB27" i="6"/>
  <c r="Z27" i="6"/>
  <c r="Y27" i="6"/>
  <c r="X27" i="6"/>
  <c r="W27" i="6"/>
  <c r="U27" i="6"/>
  <c r="T27" i="6"/>
  <c r="S27" i="6"/>
  <c r="R27" i="6"/>
  <c r="P27" i="6"/>
  <c r="O27" i="6"/>
  <c r="N27" i="6"/>
  <c r="M27" i="6"/>
  <c r="L27" i="6"/>
  <c r="K27" i="6"/>
  <c r="J27" i="6"/>
  <c r="I27" i="6"/>
  <c r="H27" i="6"/>
  <c r="G27" i="6"/>
  <c r="E27" i="6"/>
  <c r="D27" i="6"/>
  <c r="C27" i="6"/>
  <c r="AK26" i="6"/>
  <c r="AJ26" i="6"/>
  <c r="AI26" i="6"/>
  <c r="AH26" i="6"/>
  <c r="AG26" i="6"/>
  <c r="AE26" i="6"/>
  <c r="AD26" i="6"/>
  <c r="AC26" i="6"/>
  <c r="AB26" i="6"/>
  <c r="Z26" i="6"/>
  <c r="Y26" i="6"/>
  <c r="X26" i="6"/>
  <c r="W26" i="6"/>
  <c r="U26" i="6"/>
  <c r="T26" i="6"/>
  <c r="S26" i="6"/>
  <c r="R26" i="6"/>
  <c r="P26" i="6"/>
  <c r="O26" i="6"/>
  <c r="N26" i="6"/>
  <c r="M26" i="6"/>
  <c r="L26" i="6"/>
  <c r="K26" i="6"/>
  <c r="J26" i="6"/>
  <c r="I26" i="6"/>
  <c r="H26" i="6"/>
  <c r="G26" i="6"/>
  <c r="E26" i="6"/>
  <c r="D26" i="6"/>
  <c r="C26" i="6"/>
  <c r="AK25" i="6"/>
  <c r="AJ25" i="6"/>
  <c r="AI25" i="6"/>
  <c r="AH25" i="6"/>
  <c r="AG25" i="6"/>
  <c r="AE25" i="6"/>
  <c r="AD25" i="6"/>
  <c r="AC25" i="6"/>
  <c r="AB25" i="6"/>
  <c r="Z25" i="6"/>
  <c r="Y25" i="6"/>
  <c r="X25" i="6"/>
  <c r="W25" i="6"/>
  <c r="U25" i="6"/>
  <c r="T25" i="6"/>
  <c r="S25" i="6"/>
  <c r="R25" i="6"/>
  <c r="P25" i="6"/>
  <c r="O25" i="6"/>
  <c r="N25" i="6"/>
  <c r="M25" i="6"/>
  <c r="L25" i="6"/>
  <c r="K25" i="6"/>
  <c r="J25" i="6"/>
  <c r="I25" i="6"/>
  <c r="H25" i="6"/>
  <c r="G25" i="6"/>
  <c r="E25" i="6"/>
  <c r="D25" i="6"/>
  <c r="C25" i="6"/>
  <c r="AK24" i="6"/>
  <c r="AJ24" i="6"/>
  <c r="AI24" i="6"/>
  <c r="AH24" i="6"/>
  <c r="AG24" i="6"/>
  <c r="AE24" i="6"/>
  <c r="AD24" i="6"/>
  <c r="AC24" i="6"/>
  <c r="AB24" i="6"/>
  <c r="Z24" i="6"/>
  <c r="Y24" i="6"/>
  <c r="X24" i="6"/>
  <c r="W24" i="6"/>
  <c r="U24" i="6"/>
  <c r="T24" i="6"/>
  <c r="S24" i="6"/>
  <c r="R24" i="6"/>
  <c r="P24" i="6"/>
  <c r="O24" i="6"/>
  <c r="N24" i="6"/>
  <c r="M24" i="6"/>
  <c r="L24" i="6"/>
  <c r="K24" i="6"/>
  <c r="J24" i="6"/>
  <c r="I24" i="6"/>
  <c r="H24" i="6"/>
  <c r="G24" i="6"/>
  <c r="E24" i="6"/>
  <c r="D24" i="6"/>
  <c r="C24" i="6"/>
  <c r="AK23" i="6"/>
  <c r="AJ23" i="6"/>
  <c r="AI23" i="6"/>
  <c r="AH23" i="6"/>
  <c r="AG23" i="6"/>
  <c r="AE23" i="6"/>
  <c r="AD23" i="6"/>
  <c r="AC23" i="6"/>
  <c r="AB23" i="6"/>
  <c r="Z23" i="6"/>
  <c r="Y23" i="6"/>
  <c r="X23" i="6"/>
  <c r="W23" i="6"/>
  <c r="U23" i="6"/>
  <c r="T23" i="6"/>
  <c r="S23" i="6"/>
  <c r="R23" i="6"/>
  <c r="P23" i="6"/>
  <c r="O23" i="6"/>
  <c r="N23" i="6"/>
  <c r="M23" i="6"/>
  <c r="L23" i="6"/>
  <c r="K23" i="6"/>
  <c r="J23" i="6"/>
  <c r="I23" i="6"/>
  <c r="H23" i="6"/>
  <c r="G23" i="6"/>
  <c r="E23" i="6"/>
  <c r="D23" i="6"/>
  <c r="C23" i="6"/>
  <c r="AK22" i="6"/>
  <c r="AJ22" i="6"/>
  <c r="AI22" i="6"/>
  <c r="AH22" i="6"/>
  <c r="AG22" i="6"/>
  <c r="AE22" i="6"/>
  <c r="AD22" i="6"/>
  <c r="AC22" i="6"/>
  <c r="AB22" i="6"/>
  <c r="Z22" i="6"/>
  <c r="Y22" i="6"/>
  <c r="X22" i="6"/>
  <c r="W22" i="6"/>
  <c r="U22" i="6"/>
  <c r="T22" i="6"/>
  <c r="S22" i="6"/>
  <c r="R22" i="6"/>
  <c r="P22" i="6"/>
  <c r="O22" i="6"/>
  <c r="N22" i="6"/>
  <c r="M22" i="6"/>
  <c r="L22" i="6"/>
  <c r="K22" i="6"/>
  <c r="J22" i="6"/>
  <c r="I22" i="6"/>
  <c r="H22" i="6"/>
  <c r="G22" i="6"/>
  <c r="E22" i="6"/>
  <c r="D22" i="6"/>
  <c r="C22" i="6"/>
  <c r="AK21" i="6"/>
  <c r="AJ21" i="6"/>
  <c r="AI21" i="6"/>
  <c r="AH21" i="6"/>
  <c r="AG21" i="6"/>
  <c r="AE21" i="6"/>
  <c r="AD21" i="6"/>
  <c r="AC21" i="6"/>
  <c r="AB21" i="6"/>
  <c r="Z21" i="6"/>
  <c r="Y21" i="6"/>
  <c r="X21" i="6"/>
  <c r="W21" i="6"/>
  <c r="U21" i="6"/>
  <c r="T21" i="6"/>
  <c r="S21" i="6"/>
  <c r="R21" i="6"/>
  <c r="P21" i="6"/>
  <c r="O21" i="6"/>
  <c r="N21" i="6"/>
  <c r="M21" i="6"/>
  <c r="L21" i="6"/>
  <c r="K21" i="6"/>
  <c r="J21" i="6"/>
  <c r="I21" i="6"/>
  <c r="H21" i="6"/>
  <c r="G21" i="6"/>
  <c r="E21" i="6"/>
  <c r="D21" i="6"/>
  <c r="C21" i="6"/>
  <c r="AK20" i="6"/>
  <c r="AJ20" i="6"/>
  <c r="AI20" i="6"/>
  <c r="AH20" i="6"/>
  <c r="AG20" i="6"/>
  <c r="AE20" i="6"/>
  <c r="AD20" i="6"/>
  <c r="AC20" i="6"/>
  <c r="AB20" i="6"/>
  <c r="Z20" i="6"/>
  <c r="Y20" i="6"/>
  <c r="X20" i="6"/>
  <c r="W20" i="6"/>
  <c r="U20" i="6"/>
  <c r="T20" i="6"/>
  <c r="S20" i="6"/>
  <c r="R20" i="6"/>
  <c r="P20" i="6"/>
  <c r="O20" i="6"/>
  <c r="N20" i="6"/>
  <c r="M20" i="6"/>
  <c r="L20" i="6"/>
  <c r="K20" i="6"/>
  <c r="J20" i="6"/>
  <c r="I20" i="6"/>
  <c r="H20" i="6"/>
  <c r="G20" i="6"/>
  <c r="E20" i="6"/>
  <c r="D20" i="6"/>
  <c r="C20" i="6"/>
  <c r="AK19" i="6"/>
  <c r="AJ19" i="6"/>
  <c r="AI19" i="6"/>
  <c r="AH19" i="6"/>
  <c r="AG19" i="6"/>
  <c r="AE19" i="6"/>
  <c r="AD19" i="6"/>
  <c r="AC19" i="6"/>
  <c r="AB19" i="6"/>
  <c r="Z19" i="6"/>
  <c r="Y19" i="6"/>
  <c r="X19" i="6"/>
  <c r="W19" i="6"/>
  <c r="U19" i="6"/>
  <c r="T19" i="6"/>
  <c r="S19" i="6"/>
  <c r="R19" i="6"/>
  <c r="P19" i="6"/>
  <c r="O19" i="6"/>
  <c r="N19" i="6"/>
  <c r="M19" i="6"/>
  <c r="L19" i="6"/>
  <c r="K19" i="6"/>
  <c r="J19" i="6"/>
  <c r="I19" i="6"/>
  <c r="H19" i="6"/>
  <c r="G19" i="6"/>
  <c r="E19" i="6"/>
  <c r="D19" i="6"/>
  <c r="C19" i="6"/>
  <c r="AK18" i="6"/>
  <c r="AJ18" i="6"/>
  <c r="AI18" i="6"/>
  <c r="AH18" i="6"/>
  <c r="AG18" i="6"/>
  <c r="AE18" i="6"/>
  <c r="AD18" i="6"/>
  <c r="AC18" i="6"/>
  <c r="AB18" i="6"/>
  <c r="Z18" i="6"/>
  <c r="Y18" i="6"/>
  <c r="X18" i="6"/>
  <c r="W18" i="6"/>
  <c r="U18" i="6"/>
  <c r="T18" i="6"/>
  <c r="S18" i="6"/>
  <c r="R18" i="6"/>
  <c r="P18" i="6"/>
  <c r="O18" i="6"/>
  <c r="N18" i="6"/>
  <c r="M18" i="6"/>
  <c r="L18" i="6"/>
  <c r="K18" i="6"/>
  <c r="J18" i="6"/>
  <c r="I18" i="6"/>
  <c r="H18" i="6"/>
  <c r="G18" i="6"/>
  <c r="E18" i="6"/>
  <c r="D18" i="6"/>
  <c r="C18" i="6"/>
  <c r="AK17" i="6"/>
  <c r="AJ17" i="6"/>
  <c r="AI17" i="6"/>
  <c r="AH17" i="6"/>
  <c r="AG17" i="6"/>
  <c r="AE17" i="6"/>
  <c r="AD17" i="6"/>
  <c r="AC17" i="6"/>
  <c r="AB17" i="6"/>
  <c r="Z17" i="6"/>
  <c r="Y17" i="6"/>
  <c r="X17" i="6"/>
  <c r="W17" i="6"/>
  <c r="U17" i="6"/>
  <c r="T17" i="6"/>
  <c r="S17" i="6"/>
  <c r="R17" i="6"/>
  <c r="P17" i="6"/>
  <c r="O17" i="6"/>
  <c r="N17" i="6"/>
  <c r="M17" i="6"/>
  <c r="L17" i="6"/>
  <c r="K17" i="6"/>
  <c r="J17" i="6"/>
  <c r="I17" i="6"/>
  <c r="H17" i="6"/>
  <c r="G17" i="6"/>
  <c r="E17" i="6"/>
  <c r="D17" i="6"/>
  <c r="C17" i="6"/>
  <c r="AK15" i="6"/>
  <c r="AJ15" i="6"/>
  <c r="AI15" i="6"/>
  <c r="AH15" i="6"/>
  <c r="AG15" i="6"/>
  <c r="AE15" i="6"/>
  <c r="AD15" i="6"/>
  <c r="AC15" i="6"/>
  <c r="AB15" i="6"/>
  <c r="Z15" i="6"/>
  <c r="Y15" i="6"/>
  <c r="X15" i="6"/>
  <c r="W15" i="6"/>
  <c r="U15" i="6"/>
  <c r="T15" i="6"/>
  <c r="S15" i="6"/>
  <c r="R15" i="6"/>
  <c r="P15" i="6"/>
  <c r="O15" i="6"/>
  <c r="N15" i="6"/>
  <c r="M15" i="6"/>
  <c r="L15" i="6"/>
  <c r="K15" i="6"/>
  <c r="J15" i="6"/>
  <c r="I15" i="6"/>
  <c r="H15" i="6"/>
  <c r="G15" i="6"/>
  <c r="E15" i="6"/>
  <c r="D15" i="6"/>
  <c r="C15" i="6"/>
  <c r="AK14" i="6"/>
  <c r="AJ14" i="6"/>
  <c r="AI14" i="6"/>
  <c r="AH14" i="6"/>
  <c r="AG14" i="6"/>
  <c r="AE14" i="6"/>
  <c r="AD14" i="6"/>
  <c r="AC14" i="6"/>
  <c r="AB14" i="6"/>
  <c r="Z14" i="6"/>
  <c r="Y14" i="6"/>
  <c r="X14" i="6"/>
  <c r="W14" i="6"/>
  <c r="U14" i="6"/>
  <c r="T14" i="6"/>
  <c r="S14" i="6"/>
  <c r="R14" i="6"/>
  <c r="P14" i="6"/>
  <c r="O14" i="6"/>
  <c r="N14" i="6"/>
  <c r="M14" i="6"/>
  <c r="L14" i="6"/>
  <c r="K14" i="6"/>
  <c r="J14" i="6"/>
  <c r="I14" i="6"/>
  <c r="H14" i="6"/>
  <c r="G14" i="6"/>
  <c r="E14" i="6"/>
  <c r="D14" i="6"/>
  <c r="C14" i="6"/>
  <c r="AK13" i="6"/>
  <c r="AJ13" i="6"/>
  <c r="AI13" i="6"/>
  <c r="AH13" i="6"/>
  <c r="AG13" i="6"/>
  <c r="AE13" i="6"/>
  <c r="AD13" i="6"/>
  <c r="AC13" i="6"/>
  <c r="AB13" i="6"/>
  <c r="Z13" i="6"/>
  <c r="Y13" i="6"/>
  <c r="X13" i="6"/>
  <c r="W13" i="6"/>
  <c r="U13" i="6"/>
  <c r="T13" i="6"/>
  <c r="S13" i="6"/>
  <c r="R13" i="6"/>
  <c r="P13" i="6"/>
  <c r="O13" i="6"/>
  <c r="N13" i="6"/>
  <c r="M13" i="6"/>
  <c r="L13" i="6"/>
  <c r="K13" i="6"/>
  <c r="J13" i="6"/>
  <c r="I13" i="6"/>
  <c r="H13" i="6"/>
  <c r="G13" i="6"/>
  <c r="E13" i="6"/>
  <c r="D13" i="6"/>
  <c r="C13" i="6"/>
  <c r="AK12" i="6"/>
  <c r="AJ12" i="6"/>
  <c r="AI12" i="6"/>
  <c r="AH12" i="6"/>
  <c r="AG12" i="6"/>
  <c r="AE12" i="6"/>
  <c r="AD12" i="6"/>
  <c r="AC12" i="6"/>
  <c r="AB12" i="6"/>
  <c r="Z12" i="6"/>
  <c r="Y12" i="6"/>
  <c r="X12" i="6"/>
  <c r="W12" i="6"/>
  <c r="U12" i="6"/>
  <c r="T12" i="6"/>
  <c r="S12" i="6"/>
  <c r="R12" i="6"/>
  <c r="P12" i="6"/>
  <c r="O12" i="6"/>
  <c r="N12" i="6"/>
  <c r="M12" i="6"/>
  <c r="L12" i="6"/>
  <c r="K12" i="6"/>
  <c r="J12" i="6"/>
  <c r="I12" i="6"/>
  <c r="H12" i="6"/>
  <c r="G12" i="6"/>
  <c r="E12" i="6"/>
  <c r="D12" i="6"/>
  <c r="C12" i="6"/>
  <c r="AK11" i="6"/>
  <c r="AJ11" i="6"/>
  <c r="AI11" i="6"/>
  <c r="AH11" i="6"/>
  <c r="AG11" i="6"/>
  <c r="AE11" i="6"/>
  <c r="AD11" i="6"/>
  <c r="AC11" i="6"/>
  <c r="AB11" i="6"/>
  <c r="Z11" i="6"/>
  <c r="Y11" i="6"/>
  <c r="X11" i="6"/>
  <c r="W11" i="6"/>
  <c r="U11" i="6"/>
  <c r="T11" i="6"/>
  <c r="S11" i="6"/>
  <c r="R11" i="6"/>
  <c r="P11" i="6"/>
  <c r="O11" i="6"/>
  <c r="N11" i="6"/>
  <c r="M11" i="6"/>
  <c r="L11" i="6"/>
  <c r="K11" i="6"/>
  <c r="J11" i="6"/>
  <c r="I11" i="6"/>
  <c r="H11" i="6"/>
  <c r="G11" i="6"/>
  <c r="E11" i="6"/>
  <c r="D11" i="6"/>
  <c r="C11" i="6"/>
  <c r="AK10" i="6"/>
  <c r="AJ10" i="6"/>
  <c r="AI10" i="6"/>
  <c r="AH10" i="6"/>
  <c r="AG10" i="6"/>
  <c r="AE10" i="6"/>
  <c r="AD10" i="6"/>
  <c r="AC10" i="6"/>
  <c r="AB10" i="6"/>
  <c r="Z10" i="6"/>
  <c r="Y10" i="6"/>
  <c r="X10" i="6"/>
  <c r="W10" i="6"/>
  <c r="U10" i="6"/>
  <c r="T10" i="6"/>
  <c r="S10" i="6"/>
  <c r="R10" i="6"/>
  <c r="P10" i="6"/>
  <c r="O10" i="6"/>
  <c r="N10" i="6"/>
  <c r="M10" i="6"/>
  <c r="L10" i="6"/>
  <c r="K10" i="6"/>
  <c r="J10" i="6"/>
  <c r="I10" i="6"/>
  <c r="H10" i="6"/>
  <c r="G10" i="6"/>
  <c r="E10" i="6"/>
  <c r="D10" i="6"/>
  <c r="C10" i="6"/>
  <c r="AK9" i="6"/>
  <c r="AJ9" i="6"/>
  <c r="AI9" i="6"/>
  <c r="AH9" i="6"/>
  <c r="AG9" i="6"/>
  <c r="AE9" i="6"/>
  <c r="AD9" i="6"/>
  <c r="AC9" i="6"/>
  <c r="AB9" i="6"/>
  <c r="Z9" i="6"/>
  <c r="Y9" i="6"/>
  <c r="X9" i="6"/>
  <c r="W9" i="6"/>
  <c r="U9" i="6"/>
  <c r="T9" i="6"/>
  <c r="S9" i="6"/>
  <c r="R9" i="6"/>
  <c r="P9" i="6"/>
  <c r="O9" i="6"/>
  <c r="N9" i="6"/>
  <c r="M9" i="6"/>
  <c r="L9" i="6"/>
  <c r="K9" i="6"/>
  <c r="J9" i="6"/>
  <c r="I9" i="6"/>
  <c r="H9" i="6"/>
  <c r="G9" i="6"/>
  <c r="E9" i="6"/>
  <c r="D9" i="6"/>
  <c r="C9" i="6"/>
  <c r="AK8" i="6"/>
  <c r="AJ8" i="6"/>
  <c r="AI8" i="6"/>
  <c r="AH8" i="6"/>
  <c r="AG8" i="6"/>
  <c r="AE8" i="6"/>
  <c r="AD8" i="6"/>
  <c r="AC8" i="6"/>
  <c r="AB8" i="6"/>
  <c r="Z8" i="6"/>
  <c r="Y8" i="6"/>
  <c r="X8" i="6"/>
  <c r="W8" i="6"/>
  <c r="U8" i="6"/>
  <c r="T8" i="6"/>
  <c r="S8" i="6"/>
  <c r="R8" i="6"/>
  <c r="P8" i="6"/>
  <c r="O8" i="6"/>
  <c r="N8" i="6"/>
  <c r="M8" i="6"/>
  <c r="L8" i="6"/>
  <c r="K8" i="6"/>
  <c r="J8" i="6"/>
  <c r="I8" i="6"/>
  <c r="H8" i="6"/>
  <c r="G8" i="6"/>
  <c r="E8" i="6"/>
  <c r="D8" i="6"/>
  <c r="C8" i="6"/>
  <c r="AK7" i="6"/>
  <c r="AJ7" i="6"/>
  <c r="AI7" i="6"/>
  <c r="AH7" i="6"/>
  <c r="AG7" i="6"/>
  <c r="AE7" i="6"/>
  <c r="AD7" i="6"/>
  <c r="AC7" i="6"/>
  <c r="AB7" i="6"/>
  <c r="Z7" i="6"/>
  <c r="Y7" i="6"/>
  <c r="X7" i="6"/>
  <c r="W7" i="6"/>
  <c r="U7" i="6"/>
  <c r="T7" i="6"/>
  <c r="S7" i="6"/>
  <c r="R7" i="6"/>
  <c r="P7" i="6"/>
  <c r="O7" i="6"/>
  <c r="N7" i="6"/>
  <c r="M7" i="6"/>
  <c r="L7" i="6"/>
  <c r="K7" i="6"/>
  <c r="J7" i="6"/>
  <c r="I7" i="6"/>
  <c r="H7" i="6"/>
  <c r="G7" i="6"/>
  <c r="E7" i="6"/>
  <c r="D7" i="6"/>
  <c r="C7" i="6"/>
  <c r="AK6" i="6" l="1"/>
  <c r="AJ6" i="6"/>
  <c r="AI6" i="6"/>
  <c r="AH6" i="6"/>
  <c r="AE6" i="6"/>
  <c r="AD6" i="6"/>
  <c r="AC6" i="6"/>
  <c r="AB6" i="6"/>
  <c r="Z6" i="6"/>
  <c r="Y6" i="6"/>
  <c r="X6" i="6"/>
  <c r="W6" i="6"/>
  <c r="U6" i="6"/>
  <c r="T6" i="6"/>
  <c r="S6" i="6"/>
  <c r="R6" i="6"/>
  <c r="P6" i="6"/>
  <c r="O6" i="6"/>
  <c r="N6" i="6"/>
  <c r="M6" i="6"/>
  <c r="L6" i="6"/>
  <c r="K6" i="6"/>
  <c r="J6" i="6"/>
  <c r="I6" i="6"/>
  <c r="H6" i="6"/>
  <c r="G6" i="6"/>
  <c r="E6" i="6"/>
  <c r="D6" i="6"/>
  <c r="C6" i="6"/>
  <c r="I31" i="12" l="1"/>
  <c r="E31" i="12"/>
  <c r="M31" i="12"/>
  <c r="J31" i="12"/>
  <c r="N31" i="12"/>
  <c r="H31" i="12"/>
  <c r="L31" i="12"/>
  <c r="F31" i="12"/>
  <c r="G31" i="12"/>
  <c r="K31" i="12"/>
  <c r="M34" i="6" l="1"/>
  <c r="J33" i="6" l="1"/>
  <c r="J34" i="6"/>
  <c r="K33" i="6"/>
  <c r="K34" i="6"/>
  <c r="H33" i="6"/>
  <c r="H34" i="6"/>
  <c r="I33" i="6"/>
  <c r="I34" i="6"/>
  <c r="P31" i="12" l="1"/>
  <c r="T31" i="12"/>
  <c r="X31" i="12"/>
  <c r="AB31" i="12"/>
  <c r="AF31" i="12"/>
  <c r="O31" i="12"/>
  <c r="S31" i="12"/>
  <c r="W31" i="12"/>
  <c r="AA31" i="12"/>
  <c r="AE31" i="12"/>
  <c r="D31" i="12"/>
  <c r="R31" i="12"/>
  <c r="V31" i="12"/>
  <c r="Z31" i="12"/>
  <c r="AD31" i="12"/>
  <c r="Q31" i="12"/>
  <c r="U31" i="12"/>
  <c r="Y31" i="12"/>
  <c r="AC31" i="12"/>
  <c r="AG31" i="12"/>
  <c r="G33" i="12" l="1"/>
  <c r="H33" i="12"/>
  <c r="D33" i="12"/>
  <c r="E33" i="12"/>
  <c r="F33" i="12"/>
  <c r="X34" i="6"/>
  <c r="N33" i="6"/>
  <c r="L33" i="6"/>
  <c r="L34" i="6"/>
  <c r="W33" i="6"/>
  <c r="W34" i="6"/>
  <c r="X33" i="6"/>
  <c r="G34" i="6"/>
  <c r="R35" i="6" s="1"/>
  <c r="G33" i="6"/>
  <c r="O33" i="6"/>
  <c r="R33" i="6"/>
  <c r="R34" i="6"/>
  <c r="AB33" i="6"/>
  <c r="AB34" i="6"/>
  <c r="AC34" i="6"/>
  <c r="AC33" i="6"/>
  <c r="S34" i="6"/>
  <c r="S33" i="6"/>
  <c r="T34" i="6" l="1"/>
  <c r="S35" i="6"/>
  <c r="Y34" i="6"/>
  <c r="AD34" i="6"/>
  <c r="T35" i="6" l="1"/>
  <c r="AG6" i="6" l="1"/>
</calcChain>
</file>

<file path=xl/comments1.xml><?xml version="1.0" encoding="utf-8"?>
<comments xmlns="http://schemas.openxmlformats.org/spreadsheetml/2006/main">
  <authors>
    <author>sycho</author>
  </authors>
  <commentList>
    <comment ref="N31" authorId="0" shapeId="0">
      <text>
        <r>
          <rPr>
            <b/>
            <sz val="9"/>
            <color indexed="81"/>
            <rFont val="Tahoma"/>
            <family val="2"/>
          </rPr>
          <t>sycho:</t>
        </r>
        <r>
          <rPr>
            <sz val="9"/>
            <color indexed="81"/>
            <rFont val="Tahoma"/>
            <family val="2"/>
          </rPr>
          <t xml:space="preserve">
FPGA </t>
        </r>
        <r>
          <rPr>
            <sz val="9"/>
            <color indexed="81"/>
            <rFont val="돋움"/>
            <family val="3"/>
            <charset val="129"/>
          </rPr>
          <t>환경에서의</t>
        </r>
        <r>
          <rPr>
            <sz val="9"/>
            <color indexed="81"/>
            <rFont val="Tahoma"/>
            <family val="2"/>
          </rPr>
          <t xml:space="preserve"> test vector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coverage </t>
        </r>
        <r>
          <rPr>
            <sz val="9"/>
            <color indexed="81"/>
            <rFont val="돋움"/>
            <family val="3"/>
            <charset val="129"/>
          </rPr>
          <t>임</t>
        </r>
      </text>
    </comment>
    <comment ref="N33" authorId="0" shapeId="0">
      <text>
        <r>
          <rPr>
            <b/>
            <sz val="9"/>
            <color indexed="81"/>
            <rFont val="Tahoma"/>
            <family val="2"/>
          </rPr>
          <t>sycho:</t>
        </r>
        <r>
          <rPr>
            <sz val="9"/>
            <color indexed="81"/>
            <rFont val="Tahoma"/>
            <family val="2"/>
          </rPr>
          <t xml:space="preserve">
Cortex-M3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</text>
    </comment>
  </commentList>
</comments>
</file>

<file path=xl/sharedStrings.xml><?xml version="1.0" encoding="utf-8"?>
<sst xmlns="http://schemas.openxmlformats.org/spreadsheetml/2006/main" count="144" uniqueCount="58">
  <si>
    <t>Cases</t>
    <phoneticPr fontId="1" type="noConversion"/>
  </si>
  <si>
    <t>No.</t>
    <phoneticPr fontId="1" type="noConversion"/>
  </si>
  <si>
    <t>IP</t>
    <phoneticPr fontId="1" type="noConversion"/>
  </si>
  <si>
    <t>RTL</t>
    <phoneticPr fontId="1" type="noConversion"/>
  </si>
  <si>
    <t>Pass</t>
    <phoneticPr fontId="1" type="noConversion"/>
  </si>
  <si>
    <t>Remark / Coverage Waive</t>
    <phoneticPr fontId="1" type="noConversion"/>
  </si>
  <si>
    <t>Done</t>
    <phoneticPr fontId="1" type="noConversion"/>
  </si>
  <si>
    <t>Last Updated</t>
    <phoneticPr fontId="1" type="noConversion"/>
  </si>
  <si>
    <t>FPGA</t>
    <phoneticPr fontId="1" type="noConversion"/>
  </si>
  <si>
    <t>RTL 
Designer</t>
    <phoneticPr fontId="1" type="noConversion"/>
  </si>
  <si>
    <t>Verification
Engineer</t>
    <phoneticPr fontId="1" type="noConversion"/>
  </si>
  <si>
    <t>Date</t>
    <phoneticPr fontId="1" type="noConversion"/>
  </si>
  <si>
    <t>Armstrong Verification Summary History</t>
    <phoneticPr fontId="1" type="noConversion"/>
  </si>
  <si>
    <t>-</t>
    <phoneticPr fontId="1" type="noConversion"/>
  </si>
  <si>
    <t>Sub Average</t>
    <phoneticPr fontId="1" type="noConversion"/>
  </si>
  <si>
    <t>RTL Sim.</t>
    <phoneticPr fontId="1" type="noConversion"/>
  </si>
  <si>
    <t>POST Sim.</t>
    <phoneticPr fontId="1" type="noConversion"/>
  </si>
  <si>
    <t>ASIC</t>
    <phoneticPr fontId="1" type="noConversion"/>
  </si>
  <si>
    <t>Prog.</t>
    <phoneticPr fontId="1" type="noConversion"/>
  </si>
  <si>
    <t>Cov. SoC
(F2,F3)</t>
    <phoneticPr fontId="1" type="noConversion"/>
  </si>
  <si>
    <t>Cov. S.A
(F0,F1)</t>
    <phoneticPr fontId="1" type="noConversion"/>
  </si>
  <si>
    <t>FPGA</t>
    <phoneticPr fontId="1" type="noConversion"/>
  </si>
  <si>
    <t>POST</t>
    <phoneticPr fontId="1" type="noConversion"/>
  </si>
  <si>
    <t>ASIC</t>
    <phoneticPr fontId="1" type="noConversion"/>
  </si>
  <si>
    <t>Total</t>
    <phoneticPr fontId="1" type="noConversion"/>
  </si>
  <si>
    <t>rev</t>
    <phoneticPr fontId="1" type="noConversion"/>
  </si>
  <si>
    <t>date</t>
    <phoneticPr fontId="1" type="noConversion"/>
  </si>
  <si>
    <t>description</t>
    <phoneticPr fontId="1" type="noConversion"/>
  </si>
  <si>
    <t>author</t>
    <phoneticPr fontId="1" type="noConversion"/>
  </si>
  <si>
    <t>양식 초안 작성</t>
    <phoneticPr fontId="1" type="noConversion"/>
  </si>
  <si>
    <t>조성엽</t>
    <phoneticPr fontId="1" type="noConversion"/>
  </si>
  <si>
    <t>Date</t>
    <phoneticPr fontId="1" type="noConversion"/>
  </si>
  <si>
    <t>-</t>
    <phoneticPr fontId="1" type="noConversion"/>
  </si>
  <si>
    <t>Sub Sum</t>
    <phoneticPr fontId="1" type="noConversion"/>
  </si>
  <si>
    <t>Columbus Verification Status Summary</t>
    <phoneticPr fontId="1" type="noConversion"/>
  </si>
  <si>
    <t>F1~3</t>
    <phoneticPr fontId="1" type="noConversion"/>
  </si>
  <si>
    <t>RTL F1, F2, F3 status 추가 및 Columbus 적용</t>
    <phoneticPr fontId="1" type="noConversion"/>
  </si>
  <si>
    <t>Document revision history</t>
    <phoneticPr fontId="1" type="noConversion"/>
  </si>
  <si>
    <t>RTL F1</t>
    <phoneticPr fontId="1" type="noConversion"/>
  </si>
  <si>
    <t>RTL F2</t>
    <phoneticPr fontId="1" type="noConversion"/>
  </si>
  <si>
    <t>RTL F3</t>
    <phoneticPr fontId="1" type="noConversion"/>
  </si>
  <si>
    <t>RTL F1</t>
    <phoneticPr fontId="1" type="noConversion"/>
  </si>
  <si>
    <t>RTL F2</t>
    <phoneticPr fontId="1" type="noConversion"/>
  </si>
  <si>
    <t>RTL F3</t>
    <phoneticPr fontId="1" type="noConversion"/>
  </si>
  <si>
    <t>Test category</t>
    <phoneticPr fontId="1" type="noConversion"/>
  </si>
  <si>
    <t xml:space="preserve">Sanity </t>
    <phoneticPr fontId="1" type="noConversion"/>
  </si>
  <si>
    <t>Function</t>
    <phoneticPr fontId="1" type="noConversion"/>
  </si>
  <si>
    <t>Comprehensive</t>
    <phoneticPr fontId="1" type="noConversion"/>
  </si>
  <si>
    <t>Performance &amp; Regression</t>
    <phoneticPr fontId="1" type="noConversion"/>
  </si>
  <si>
    <t>Specific &amp; Etc.</t>
    <phoneticPr fontId="1" type="noConversion"/>
  </si>
  <si>
    <t>IP</t>
    <phoneticPr fontId="1" type="noConversion"/>
  </si>
  <si>
    <t>No.</t>
    <phoneticPr fontId="1" type="noConversion"/>
  </si>
  <si>
    <t>Whole Total</t>
    <phoneticPr fontId="1" type="noConversion"/>
  </si>
  <si>
    <t>RTL &amp; FPGA Total</t>
    <phoneticPr fontId="1" type="noConversion"/>
  </si>
  <si>
    <t>-</t>
    <phoneticPr fontId="1" type="noConversion"/>
  </si>
  <si>
    <t>-</t>
  </si>
  <si>
    <t>RTL F1</t>
    <phoneticPr fontId="1" type="noConversion"/>
  </si>
  <si>
    <t>Prog.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</si>
</sst>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_ "/>
    <numFmt numFmtId="177" formatCode="0.0%"/>
    <numFmt numFmtId="178" formatCode="0_ "/>
    <numFmt numFmtId="179" formatCode="mm&quot;/&quot;dd&quot;/&quot;yy;@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1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i/>
      <sz val="9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b/>
      <i/>
      <sz val="9"/>
      <color rgb="FFC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auto="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</borders>
  <cellStyleXfs count="8">
    <xf numFmtId="0" fontId="0" fillId="0" borderId="0">
      <alignment vertical="center"/>
    </xf>
    <xf numFmtId="0" fontId="4" fillId="0" borderId="0"/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167">
    <xf numFmtId="0" fontId="0" fillId="0" borderId="0" xfId="0">
      <alignment vertical="center"/>
    </xf>
    <xf numFmtId="0" fontId="2" fillId="2" borderId="0" xfId="0" applyFont="1" applyFill="1" applyBorder="1">
      <alignment vertical="center"/>
    </xf>
    <xf numFmtId="0" fontId="7" fillId="0" borderId="0" xfId="0" applyFont="1" applyBorder="1">
      <alignment vertical="center"/>
    </xf>
    <xf numFmtId="0" fontId="6" fillId="0" borderId="0" xfId="0" applyFont="1">
      <alignment vertical="center"/>
    </xf>
    <xf numFmtId="0" fontId="8" fillId="3" borderId="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>
      <alignment vertical="center"/>
    </xf>
    <xf numFmtId="176" fontId="6" fillId="3" borderId="1" xfId="0" applyNumberFormat="1" applyFont="1" applyFill="1" applyBorder="1" applyAlignment="1">
      <alignment horizontal="center" vertical="center"/>
    </xf>
    <xf numFmtId="177" fontId="6" fillId="3" borderId="1" xfId="7" applyNumberFormat="1" applyFont="1" applyFill="1" applyBorder="1" applyAlignment="1">
      <alignment horizontal="center" vertical="center"/>
    </xf>
    <xf numFmtId="177" fontId="6" fillId="3" borderId="1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  <xf numFmtId="177" fontId="6" fillId="4" borderId="1" xfId="7" applyNumberFormat="1" applyFont="1" applyFill="1" applyBorder="1" applyAlignment="1">
      <alignment horizontal="right" vertical="center"/>
    </xf>
    <xf numFmtId="0" fontId="6" fillId="4" borderId="1" xfId="0" applyFont="1" applyFill="1" applyBorder="1">
      <alignment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6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7" fillId="0" borderId="23" xfId="0" applyFont="1" applyBorder="1">
      <alignment vertical="center"/>
    </xf>
    <xf numFmtId="0" fontId="7" fillId="0" borderId="24" xfId="0" applyFont="1" applyBorder="1">
      <alignment vertical="center"/>
    </xf>
    <xf numFmtId="0" fontId="7" fillId="0" borderId="25" xfId="0" applyFont="1" applyBorder="1">
      <alignment vertical="center"/>
    </xf>
    <xf numFmtId="0" fontId="7" fillId="0" borderId="26" xfId="0" applyFont="1" applyBorder="1">
      <alignment vertical="center"/>
    </xf>
    <xf numFmtId="0" fontId="6" fillId="0" borderId="0" xfId="0" applyFont="1" applyFill="1">
      <alignment vertical="center"/>
    </xf>
    <xf numFmtId="0" fontId="6" fillId="0" borderId="0" xfId="0" applyFont="1" applyFill="1" applyBorder="1">
      <alignment vertical="center"/>
    </xf>
    <xf numFmtId="0" fontId="6" fillId="4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79" fontId="6" fillId="4" borderId="7" xfId="0" applyNumberFormat="1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177" fontId="7" fillId="0" borderId="1" xfId="7" applyNumberFormat="1" applyFont="1" applyFill="1" applyBorder="1" applyAlignment="1">
      <alignment horizontal="center" vertical="center"/>
    </xf>
    <xf numFmtId="0" fontId="7" fillId="0" borderId="1" xfId="0" applyFont="1" applyFill="1" applyBorder="1">
      <alignment vertical="center"/>
    </xf>
    <xf numFmtId="0" fontId="7" fillId="0" borderId="1" xfId="0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9" fontId="7" fillId="2" borderId="11" xfId="7" applyNumberFormat="1" applyFont="1" applyFill="1" applyBorder="1" applyAlignment="1">
      <alignment horizontal="center" vertical="center"/>
    </xf>
    <xf numFmtId="9" fontId="7" fillId="2" borderId="11" xfId="7" applyNumberFormat="1" applyFont="1" applyFill="1" applyBorder="1" applyAlignment="1">
      <alignment vertical="center"/>
    </xf>
    <xf numFmtId="9" fontId="7" fillId="2" borderId="17" xfId="7" applyNumberFormat="1" applyFont="1" applyFill="1" applyBorder="1" applyAlignment="1">
      <alignment vertical="center"/>
    </xf>
    <xf numFmtId="9" fontId="7" fillId="2" borderId="4" xfId="0" applyNumberFormat="1" applyFont="1" applyFill="1" applyBorder="1" applyAlignment="1">
      <alignment vertical="center"/>
    </xf>
    <xf numFmtId="9" fontId="7" fillId="2" borderId="11" xfId="0" applyNumberFormat="1" applyFont="1" applyFill="1" applyBorder="1" applyAlignment="1">
      <alignment horizontal="center" vertical="center"/>
    </xf>
    <xf numFmtId="176" fontId="6" fillId="3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77" fontId="7" fillId="0" borderId="1" xfId="7" applyNumberFormat="1" applyFont="1" applyFill="1" applyBorder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/>
    </xf>
    <xf numFmtId="177" fontId="6" fillId="5" borderId="1" xfId="7" applyNumberFormat="1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176" fontId="13" fillId="0" borderId="5" xfId="0" applyNumberFormat="1" applyFont="1" applyFill="1" applyBorder="1" applyAlignment="1">
      <alignment horizontal="center" vertical="center"/>
    </xf>
    <xf numFmtId="177" fontId="13" fillId="0" borderId="5" xfId="7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76" fontId="8" fillId="3" borderId="9" xfId="0" applyNumberFormat="1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176" fontId="17" fillId="3" borderId="1" xfId="0" applyNumberFormat="1" applyFont="1" applyFill="1" applyBorder="1" applyAlignment="1">
      <alignment horizontal="center" vertical="center"/>
    </xf>
    <xf numFmtId="176" fontId="8" fillId="3" borderId="1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 wrapText="1"/>
    </xf>
    <xf numFmtId="176" fontId="13" fillId="0" borderId="0" xfId="0" applyNumberFormat="1" applyFont="1" applyFill="1" applyBorder="1" applyAlignment="1">
      <alignment horizontal="center" vertical="center"/>
    </xf>
    <xf numFmtId="177" fontId="13" fillId="0" borderId="0" xfId="7" applyNumberFormat="1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79" fontId="6" fillId="5" borderId="7" xfId="0" applyNumberFormat="1" applyFont="1" applyFill="1" applyBorder="1" applyAlignment="1">
      <alignment horizontal="center" vertical="center"/>
    </xf>
    <xf numFmtId="0" fontId="6" fillId="5" borderId="1" xfId="0" applyFont="1" applyFill="1" applyBorder="1">
      <alignment vertical="center"/>
    </xf>
    <xf numFmtId="0" fontId="6" fillId="4" borderId="14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32" xfId="0" applyFont="1" applyFill="1" applyBorder="1" applyAlignment="1">
      <alignment horizontal="center" vertical="center"/>
    </xf>
    <xf numFmtId="176" fontId="6" fillId="3" borderId="14" xfId="0" applyNumberFormat="1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34" xfId="0" applyFont="1" applyFill="1" applyBorder="1">
      <alignment vertical="center"/>
    </xf>
    <xf numFmtId="0" fontId="9" fillId="3" borderId="6" xfId="0" applyFont="1" applyFill="1" applyBorder="1" applyAlignment="1">
      <alignment horizontal="center" vertical="center"/>
    </xf>
    <xf numFmtId="176" fontId="9" fillId="3" borderId="9" xfId="0" applyNumberFormat="1" applyFont="1" applyFill="1" applyBorder="1" applyAlignment="1">
      <alignment horizontal="center" vertical="center"/>
    </xf>
    <xf numFmtId="177" fontId="9" fillId="3" borderId="9" xfId="7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176" fontId="9" fillId="3" borderId="33" xfId="0" applyNumberFormat="1" applyFont="1" applyFill="1" applyBorder="1" applyAlignment="1">
      <alignment horizontal="center" vertical="center"/>
    </xf>
    <xf numFmtId="177" fontId="9" fillId="3" borderId="33" xfId="7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4" fontId="7" fillId="0" borderId="22" xfId="0" applyNumberFormat="1" applyFont="1" applyBorder="1" applyAlignment="1">
      <alignment horizontal="center" vertical="center"/>
    </xf>
    <xf numFmtId="14" fontId="7" fillId="0" borderId="22" xfId="0" applyNumberFormat="1" applyFont="1" applyBorder="1">
      <alignment vertical="center"/>
    </xf>
    <xf numFmtId="14" fontId="7" fillId="0" borderId="25" xfId="0" applyNumberFormat="1" applyFont="1" applyBorder="1">
      <alignment vertical="center"/>
    </xf>
    <xf numFmtId="177" fontId="18" fillId="3" borderId="9" xfId="7" applyNumberFormat="1" applyFont="1" applyFill="1" applyBorder="1" applyAlignment="1">
      <alignment horizontal="center" vertical="center"/>
    </xf>
    <xf numFmtId="177" fontId="18" fillId="3" borderId="1" xfId="7" applyNumberFormat="1" applyFont="1" applyFill="1" applyBorder="1" applyAlignment="1">
      <alignment horizontal="center" vertical="center"/>
    </xf>
    <xf numFmtId="177" fontId="19" fillId="3" borderId="1" xfId="7" applyNumberFormat="1" applyFont="1" applyFill="1" applyBorder="1" applyAlignment="1">
      <alignment horizontal="center" vertical="center"/>
    </xf>
    <xf numFmtId="9" fontId="6" fillId="4" borderId="2" xfId="0" applyNumberFormat="1" applyFont="1" applyFill="1" applyBorder="1" applyAlignment="1">
      <alignment horizontal="center" vertical="center"/>
    </xf>
    <xf numFmtId="9" fontId="6" fillId="4" borderId="32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7" fillId="0" borderId="0" xfId="0" applyFont="1" applyFill="1" applyBorder="1">
      <alignment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176" fontId="6" fillId="6" borderId="1" xfId="0" applyNumberFormat="1" applyFont="1" applyFill="1" applyBorder="1" applyAlignment="1">
      <alignment horizontal="center" vertical="center"/>
    </xf>
    <xf numFmtId="177" fontId="6" fillId="6" borderId="1" xfId="7" applyNumberFormat="1" applyFont="1" applyFill="1" applyBorder="1" applyAlignment="1">
      <alignment horizontal="right" vertical="center"/>
    </xf>
    <xf numFmtId="9" fontId="6" fillId="6" borderId="2" xfId="0" applyNumberFormat="1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9" fontId="6" fillId="6" borderId="32" xfId="0" applyNumberFormat="1" applyFont="1" applyFill="1" applyBorder="1" applyAlignment="1">
      <alignment horizontal="center" vertical="center"/>
    </xf>
    <xf numFmtId="179" fontId="6" fillId="6" borderId="7" xfId="0" applyNumberFormat="1" applyFont="1" applyFill="1" applyBorder="1" applyAlignment="1">
      <alignment horizontal="center" vertical="center"/>
    </xf>
    <xf numFmtId="0" fontId="6" fillId="6" borderId="1" xfId="0" applyFont="1" applyFill="1" applyBorder="1">
      <alignment vertical="center"/>
    </xf>
    <xf numFmtId="177" fontId="7" fillId="0" borderId="0" xfId="7" applyNumberFormat="1" applyFont="1" applyBorder="1">
      <alignment vertical="center"/>
    </xf>
    <xf numFmtId="0" fontId="7" fillId="0" borderId="0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4" fontId="11" fillId="2" borderId="0" xfId="0" applyNumberFormat="1" applyFont="1" applyFill="1" applyAlignment="1">
      <alignment horizontal="left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</cellXfs>
  <cellStyles count="8">
    <cellStyle name="백분율" xfId="7" builtinId="5"/>
    <cellStyle name="표준" xfId="0" builtinId="0"/>
    <cellStyle name="표준 2" xfId="1"/>
    <cellStyle name="표준 2 2" xfId="2"/>
    <cellStyle name="표준 3" xfId="3"/>
    <cellStyle name="표준 4" xfId="4"/>
    <cellStyle name="표준 5" xfId="5"/>
    <cellStyle name="표준 6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2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198659253988501E-2"/>
          <c:y val="2.6503885711355212E-2"/>
          <c:w val="0.8165683251409056"/>
          <c:h val="0.78997118845486369"/>
        </c:manualLayout>
      </c:layout>
      <c:lineChart>
        <c:grouping val="standard"/>
        <c:varyColors val="0"/>
        <c:ser>
          <c:idx val="5"/>
          <c:order val="0"/>
          <c:tx>
            <c:strRef>
              <c:f>StatusHistory!$AB$5</c:f>
              <c:strCache>
                <c:ptCount val="1"/>
                <c:pt idx="0">
                  <c:v>RTL F1</c:v>
                </c:pt>
              </c:strCache>
            </c:strRef>
          </c:tx>
          <c:spPr>
            <a:ln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pPr>
              <a:solidFill>
                <a:schemeClr val="tx2">
                  <a:lumMod val="40000"/>
                  <a:lumOff val="60000"/>
                </a:schemeClr>
              </a:solidFill>
              <a:ln>
                <a:solidFill>
                  <a:schemeClr val="tx2">
                    <a:lumMod val="40000"/>
                    <a:lumOff val="60000"/>
                  </a:schemeClr>
                </a:solidFill>
              </a:ln>
            </c:spPr>
          </c:marker>
          <c:val>
            <c:numRef>
              <c:f>StatusHistory!$AB$7:$AB$19</c:f>
              <c:numCache>
                <c:formatCode>0.0%</c:formatCode>
                <c:ptCount val="13"/>
                <c:pt idx="0">
                  <c:v>0.44578313253012047</c:v>
                </c:pt>
                <c:pt idx="1">
                  <c:v>0.69946808510638303</c:v>
                </c:pt>
                <c:pt idx="2">
                  <c:v>0.69946808510638303</c:v>
                </c:pt>
                <c:pt idx="3">
                  <c:v>0.49708454810495628</c:v>
                </c:pt>
              </c:numCache>
            </c:numRef>
          </c:val>
          <c:smooth val="0"/>
        </c:ser>
        <c:ser>
          <c:idx val="0"/>
          <c:order val="1"/>
          <c:tx>
            <c:v>RTL</c:v>
          </c:tx>
          <c:cat>
            <c:numRef>
              <c:f>StatusHistory!$B$7:$B$19</c:f>
              <c:numCache>
                <c:formatCode>m/d/yyyy</c:formatCode>
                <c:ptCount val="13"/>
                <c:pt idx="0">
                  <c:v>42207</c:v>
                </c:pt>
                <c:pt idx="1">
                  <c:v>42214</c:v>
                </c:pt>
                <c:pt idx="2">
                  <c:v>42221</c:v>
                </c:pt>
                <c:pt idx="3">
                  <c:v>42223</c:v>
                </c:pt>
              </c:numCache>
            </c:numRef>
          </c:cat>
          <c:val>
            <c:numRef>
              <c:f>StatusHistory!$I$7:$I$19</c:f>
              <c:numCache>
                <c:formatCode>0.0%</c:formatCode>
                <c:ptCount val="13"/>
                <c:pt idx="0">
                  <c:v>0.26565923165830013</c:v>
                </c:pt>
                <c:pt idx="1">
                  <c:v>0.3177683776094406</c:v>
                </c:pt>
                <c:pt idx="2">
                  <c:v>0.32113538097644395</c:v>
                </c:pt>
                <c:pt idx="3">
                  <c:v>0.27851465003562442</c:v>
                </c:pt>
              </c:numCache>
            </c:numRef>
          </c:val>
          <c:smooth val="1"/>
        </c:ser>
        <c:ser>
          <c:idx val="3"/>
          <c:order val="2"/>
          <c:tx>
            <c:v>FPGA</c:v>
          </c:tx>
          <c:cat>
            <c:numRef>
              <c:f>StatusHistory!$B$7:$B$19</c:f>
              <c:numCache>
                <c:formatCode>m/d/yyyy</c:formatCode>
                <c:ptCount val="13"/>
                <c:pt idx="0">
                  <c:v>42207</c:v>
                </c:pt>
                <c:pt idx="1">
                  <c:v>42214</c:v>
                </c:pt>
                <c:pt idx="2">
                  <c:v>42221</c:v>
                </c:pt>
                <c:pt idx="3">
                  <c:v>42223</c:v>
                </c:pt>
              </c:numCache>
            </c:numRef>
          </c:cat>
          <c:val>
            <c:numRef>
              <c:f>StatusHistory!$P$7:$P$19</c:f>
              <c:numCache>
                <c:formatCode>0.0%</c:formatCode>
                <c:ptCount val="13"/>
                <c:pt idx="0">
                  <c:v>0.1</c:v>
                </c:pt>
                <c:pt idx="1">
                  <c:v>4.8717948717948718E-2</c:v>
                </c:pt>
                <c:pt idx="2">
                  <c:v>5.3846153846153849E-2</c:v>
                </c:pt>
                <c:pt idx="3">
                  <c:v>2.4193548387096774E-2</c:v>
                </c:pt>
              </c:numCache>
            </c:numRef>
          </c:val>
          <c:smooth val="1"/>
        </c:ser>
        <c:ser>
          <c:idx val="4"/>
          <c:order val="3"/>
          <c:tx>
            <c:v>Cov.F0/1</c:v>
          </c:tx>
          <c:spPr>
            <a:ln>
              <a:solidFill>
                <a:schemeClr val="accent2">
                  <a:lumMod val="60000"/>
                  <a:lumOff val="40000"/>
                </a:schemeClr>
              </a:solidFill>
            </a:ln>
          </c:spPr>
          <c:marker>
            <c:spPr>
              <a:ln>
                <a:solidFill>
                  <a:schemeClr val="accent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StatusHistory!$B$7:$B$19</c:f>
              <c:numCache>
                <c:formatCode>m/d/yyyy</c:formatCode>
                <c:ptCount val="13"/>
                <c:pt idx="0">
                  <c:v>42207</c:v>
                </c:pt>
                <c:pt idx="1">
                  <c:v>42214</c:v>
                </c:pt>
                <c:pt idx="2">
                  <c:v>42221</c:v>
                </c:pt>
                <c:pt idx="3">
                  <c:v>42223</c:v>
                </c:pt>
              </c:numCache>
            </c:numRef>
          </c:cat>
          <c:val>
            <c:numRef>
              <c:f>StatusHistory!$K$7:$K$19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</c:ser>
        <c:ser>
          <c:idx val="1"/>
          <c:order val="4"/>
          <c:tx>
            <c:v>Cov.F2/3</c:v>
          </c:tx>
          <c:cat>
            <c:numRef>
              <c:f>StatusHistory!$B$7:$B$19</c:f>
              <c:numCache>
                <c:formatCode>m/d/yyyy</c:formatCode>
                <c:ptCount val="13"/>
                <c:pt idx="0">
                  <c:v>42207</c:v>
                </c:pt>
                <c:pt idx="1">
                  <c:v>42214</c:v>
                </c:pt>
                <c:pt idx="2">
                  <c:v>42221</c:v>
                </c:pt>
                <c:pt idx="3">
                  <c:v>42223</c:v>
                </c:pt>
              </c:numCache>
            </c:numRef>
          </c:cat>
          <c:val>
            <c:numRef>
              <c:f>StatusHistory!$J$7:$J$19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</c:ser>
        <c:ser>
          <c:idx val="2"/>
          <c:order val="5"/>
          <c:tx>
            <c:strRef>
              <c:f>Summary!$W$3</c:f>
              <c:strCache>
                <c:ptCount val="1"/>
                <c:pt idx="0">
                  <c:v>POST Sim.</c:v>
                </c:pt>
              </c:strCache>
            </c:strRef>
          </c:tx>
          <c:cat>
            <c:numRef>
              <c:f>StatusHistory!$B$7:$B$19</c:f>
              <c:numCache>
                <c:formatCode>m/d/yyyy</c:formatCode>
                <c:ptCount val="13"/>
                <c:pt idx="0">
                  <c:v>42207</c:v>
                </c:pt>
                <c:pt idx="1">
                  <c:v>42214</c:v>
                </c:pt>
                <c:pt idx="2">
                  <c:v>42221</c:v>
                </c:pt>
                <c:pt idx="3">
                  <c:v>42223</c:v>
                </c:pt>
              </c:numCache>
            </c:numRef>
          </c:cat>
          <c:val>
            <c:numRef>
              <c:f>StatusHistory!$U$7:$U$19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522696"/>
        <c:axId val="260401600"/>
      </c:lineChart>
      <c:dateAx>
        <c:axId val="2275226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ko-KR"/>
          </a:p>
        </c:txPr>
        <c:crossAx val="260401600"/>
        <c:crosses val="autoZero"/>
        <c:auto val="0"/>
        <c:lblOffset val="100"/>
        <c:baseTimeUnit val="days"/>
      </c:dateAx>
      <c:valAx>
        <c:axId val="260401600"/>
        <c:scaling>
          <c:orientation val="minMax"/>
          <c:max val="1"/>
          <c:min val="0"/>
        </c:scaling>
        <c:delete val="0"/>
        <c:axPos val="l"/>
        <c:majorGridlines/>
        <c:numFmt formatCode="0.0%" sourceLinked="0"/>
        <c:majorTickMark val="out"/>
        <c:minorTickMark val="none"/>
        <c:tickLblPos val="nextTo"/>
        <c:crossAx val="227522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050409739132895"/>
          <c:y val="0.26284930490795438"/>
          <c:w val="8.7465864562587148E-2"/>
          <c:h val="0.53119961880882383"/>
        </c:manualLayout>
      </c:layout>
      <c:overlay val="0"/>
      <c:txPr>
        <a:bodyPr/>
        <a:lstStyle/>
        <a:p>
          <a:pPr rtl="0">
            <a:defRPr/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198659253988501E-2"/>
          <c:y val="2.6503885711355212E-2"/>
          <c:w val="0.8165683251409056"/>
          <c:h val="0.78997118845486369"/>
        </c:manualLayout>
      </c:layout>
      <c:lineChart>
        <c:grouping val="standard"/>
        <c:varyColors val="0"/>
        <c:ser>
          <c:idx val="0"/>
          <c:order val="0"/>
          <c:tx>
            <c:strRef>
              <c:f>StatusHistory!$X$4</c:f>
              <c:strCache>
                <c:ptCount val="1"/>
                <c:pt idx="0">
                  <c:v>ASIC</c:v>
                </c:pt>
              </c:strCache>
            </c:strRef>
          </c:tx>
          <c:cat>
            <c:numRef>
              <c:f>StatusHistory!$B$9:$B$19</c:f>
              <c:numCache>
                <c:formatCode>m/d/yyyy</c:formatCode>
                <c:ptCount val="11"/>
                <c:pt idx="0">
                  <c:v>42221</c:v>
                </c:pt>
                <c:pt idx="1">
                  <c:v>42223</c:v>
                </c:pt>
              </c:numCache>
            </c:numRef>
          </c:cat>
          <c:val>
            <c:numRef>
              <c:f>StatusHistory!$Z$9:$Z$19</c:f>
              <c:numCache>
                <c:formatCode>0.0%</c:formatCode>
                <c:ptCount val="11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675288"/>
        <c:axId val="227816832"/>
      </c:lineChart>
      <c:dateAx>
        <c:axId val="2616752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ko-KR"/>
          </a:p>
        </c:txPr>
        <c:crossAx val="227816832"/>
        <c:crosses val="autoZero"/>
        <c:auto val="0"/>
        <c:lblOffset val="100"/>
        <c:baseTimeUnit val="days"/>
      </c:dateAx>
      <c:valAx>
        <c:axId val="227816832"/>
        <c:scaling>
          <c:orientation val="minMax"/>
          <c:max val="1"/>
          <c:min val="0"/>
        </c:scaling>
        <c:delete val="0"/>
        <c:axPos val="l"/>
        <c:majorGridlines/>
        <c:numFmt formatCode="0.0%" sourceLinked="0"/>
        <c:majorTickMark val="out"/>
        <c:minorTickMark val="none"/>
        <c:tickLblPos val="nextTo"/>
        <c:crossAx val="261675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096703710756728"/>
          <c:y val="0.36566456165889166"/>
          <c:w val="0.12457500931057869"/>
          <c:h val="8.8533303931845095E-2"/>
        </c:manualLayout>
      </c:layout>
      <c:overlay val="0"/>
      <c:txPr>
        <a:bodyPr/>
        <a:lstStyle/>
        <a:p>
          <a:pPr rtl="0">
            <a:defRPr/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altLang="ko-KR" sz="1400"/>
              <a:t>Test Category: RTL sim. F1 </a:t>
            </a:r>
            <a:endParaRPr lang="ko-KR" altLang="en-US" sz="1400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Statistic_Table!$D$4:$H$4</c:f>
              <c:strCache>
                <c:ptCount val="5"/>
                <c:pt idx="0">
                  <c:v>Sanity </c:v>
                </c:pt>
                <c:pt idx="1">
                  <c:v>Function</c:v>
                </c:pt>
                <c:pt idx="2">
                  <c:v>Comprehensive</c:v>
                </c:pt>
                <c:pt idx="3">
                  <c:v>Performance &amp; Regression</c:v>
                </c:pt>
                <c:pt idx="4">
                  <c:v>Specific &amp; Etc.</c:v>
                </c:pt>
              </c:strCache>
            </c:strRef>
          </c:tx>
          <c:explosion val="25"/>
          <c:dLbls>
            <c:dLbl>
              <c:idx val="0"/>
              <c:layout>
                <c:manualLayout>
                  <c:x val="0.14086325144061684"/>
                  <c:y val="1.843082114735658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0.18499859947127484"/>
                  <c:y val="8.32860892388451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189807714269941"/>
                      <c:h val="0.15378590176227971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0.15411219476433"/>
                  <c:y val="5.45755530558680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0.12984171834797778"/>
                  <c:y val="6.592425946756655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Statistic_Table!$D$4:$H$4</c:f>
              <c:strCache>
                <c:ptCount val="5"/>
                <c:pt idx="0">
                  <c:v>Sanity </c:v>
                </c:pt>
                <c:pt idx="1">
                  <c:v>Function</c:v>
                </c:pt>
                <c:pt idx="2">
                  <c:v>Comprehensive</c:v>
                </c:pt>
                <c:pt idx="3">
                  <c:v>Performance &amp; Regression</c:v>
                </c:pt>
                <c:pt idx="4">
                  <c:v>Specific &amp; Etc.</c:v>
                </c:pt>
              </c:strCache>
            </c:strRef>
          </c:cat>
          <c:val>
            <c:numRef>
              <c:f>Statistic_Table!$D$31:$H$31</c:f>
              <c:numCache>
                <c:formatCode>General</c:formatCode>
                <c:ptCount val="5"/>
                <c:pt idx="0">
                  <c:v>46</c:v>
                </c:pt>
                <c:pt idx="1">
                  <c:v>533</c:v>
                </c:pt>
                <c:pt idx="2">
                  <c:v>62</c:v>
                </c:pt>
                <c:pt idx="3">
                  <c:v>26</c:v>
                </c:pt>
                <c:pt idx="4">
                  <c:v>11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altLang="ko-KR" sz="1400" b="1" i="0" baseline="0">
                <a:effectLst/>
              </a:rPr>
              <a:t>Test Category: RTL sim. F2</a:t>
            </a:r>
            <a:endParaRPr lang="ko-KR" altLang="ko-KR" sz="1400">
              <a:effectLst/>
            </a:endParaRP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5.5654499521527873E-2"/>
                  <c:y val="6.72745318540318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4.6215626083228514E-3"/>
                  <c:y val="1.12943192312511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8.4982450378354862E-2"/>
                  <c:y val="6.74827134273739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Statistic_Table!$D$4:$H$4</c:f>
              <c:strCache>
                <c:ptCount val="5"/>
                <c:pt idx="0">
                  <c:v>Sanity </c:v>
                </c:pt>
                <c:pt idx="1">
                  <c:v>Function</c:v>
                </c:pt>
                <c:pt idx="2">
                  <c:v>Comprehensive</c:v>
                </c:pt>
                <c:pt idx="3">
                  <c:v>Performance &amp; Regression</c:v>
                </c:pt>
                <c:pt idx="4">
                  <c:v>Specific &amp; Etc.</c:v>
                </c:pt>
              </c:strCache>
            </c:strRef>
          </c:cat>
          <c:val>
            <c:numRef>
              <c:f>Statistic_Table!$I$31:$M$31</c:f>
              <c:numCache>
                <c:formatCode>General</c:formatCode>
                <c:ptCount val="5"/>
                <c:pt idx="0">
                  <c:v>22</c:v>
                </c:pt>
                <c:pt idx="1">
                  <c:v>68</c:v>
                </c:pt>
                <c:pt idx="2">
                  <c:v>176</c:v>
                </c:pt>
                <c:pt idx="3">
                  <c:v>14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altLang="ko-KR" sz="1400" baseline="0"/>
              <a:t>Test Case Ratio</a:t>
            </a:r>
            <a:endParaRPr lang="ko-KR" sz="1400"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Summary!$G$4</c:f>
              <c:strCache>
                <c:ptCount val="1"/>
                <c:pt idx="0">
                  <c:v>RTL F1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Summary!$C$6:$C$31</c:f>
              <c:strCache>
                <c:ptCount val="26"/>
                <c:pt idx="0">
                  <c:v>Cortex-M3</c:v>
                </c:pt>
                <c:pt idx="1">
                  <c:v>HCT</c:v>
                </c:pt>
                <c:pt idx="2">
                  <c:v>FCT</c:v>
                </c:pt>
                <c:pt idx="3">
                  <c:v>Buffer Manager</c:v>
                </c:pt>
                <c:pt idx="4">
                  <c:v>Search Engine</c:v>
                </c:pt>
                <c:pt idx="5">
                  <c:v>MTSE</c:v>
                </c:pt>
                <c:pt idx="6">
                  <c:v>System Memory</c:v>
                </c:pt>
                <c:pt idx="7">
                  <c:v>Linked List SE</c:v>
                </c:pt>
                <c:pt idx="8">
                  <c:v>DMA</c:v>
                </c:pt>
                <c:pt idx="9">
                  <c:v>Back Bone</c:v>
                </c:pt>
                <c:pt idx="10">
                  <c:v>Analog IP</c:v>
                </c:pt>
                <c:pt idx="11">
                  <c:v>SysCtrl: PMU</c:v>
                </c:pt>
                <c:pt idx="12">
                  <c:v>RPMB</c:v>
                </c:pt>
                <c:pt idx="13">
                  <c:v>Mail Box</c:v>
                </c:pt>
                <c:pt idx="14">
                  <c:v>Timer</c:v>
                </c:pt>
                <c:pt idx="15">
                  <c:v>WDT</c:v>
                </c:pt>
                <c:pt idx="16">
                  <c:v>UART</c:v>
                </c:pt>
                <c:pt idx="17">
                  <c:v>SysCtrl: Clock</c:v>
                </c:pt>
                <c:pt idx="18">
                  <c:v>SysCtrl: Reset</c:v>
                </c:pt>
                <c:pt idx="19">
                  <c:v>eFuse Controller</c:v>
                </c:pt>
                <c:pt idx="20">
                  <c:v>M-PHY</c:v>
                </c:pt>
                <c:pt idx="21">
                  <c:v>Nand PHY</c:v>
                </c:pt>
                <c:pt idx="22">
                  <c:v>Nand IO</c:v>
                </c:pt>
                <c:pt idx="23">
                  <c:v>I/O Mux</c:v>
                </c:pt>
                <c:pt idx="24">
                  <c:v>HW Bypass</c:v>
                </c:pt>
                <c:pt idx="25">
                  <c:v>End to End</c:v>
                </c:pt>
              </c:strCache>
            </c:strRef>
          </c:cat>
          <c:val>
            <c:numRef>
              <c:f>Summary!$G$6:$G$31</c:f>
              <c:numCache>
                <c:formatCode>General</c:formatCode>
                <c:ptCount val="26"/>
                <c:pt idx="0">
                  <c:v>18</c:v>
                </c:pt>
                <c:pt idx="1">
                  <c:v>281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0</c:v>
                </c:pt>
                <c:pt idx="6">
                  <c:v>107</c:v>
                </c:pt>
                <c:pt idx="7">
                  <c:v>21</c:v>
                </c:pt>
                <c:pt idx="8">
                  <c:v>29</c:v>
                </c:pt>
                <c:pt idx="9">
                  <c:v>4</c:v>
                </c:pt>
                <c:pt idx="10">
                  <c:v>0</c:v>
                </c:pt>
                <c:pt idx="11">
                  <c:v>79</c:v>
                </c:pt>
                <c:pt idx="12">
                  <c:v>27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17</c:v>
                </c:pt>
                <c:pt idx="18">
                  <c:v>15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1"/>
          <c:tx>
            <c:strRef>
              <c:f>Summary!$I$4</c:f>
              <c:strCache>
                <c:ptCount val="1"/>
                <c:pt idx="0">
                  <c:v>RTL F2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Summary!$I$6:$I$31</c:f>
              <c:numCache>
                <c:formatCode>General</c:formatCode>
                <c:ptCount val="26"/>
                <c:pt idx="0">
                  <c:v>7</c:v>
                </c:pt>
                <c:pt idx="1">
                  <c:v>61</c:v>
                </c:pt>
                <c:pt idx="2">
                  <c:v>0</c:v>
                </c:pt>
                <c:pt idx="3">
                  <c:v>26</c:v>
                </c:pt>
                <c:pt idx="4">
                  <c:v>0</c:v>
                </c:pt>
                <c:pt idx="5">
                  <c:v>0</c:v>
                </c:pt>
                <c:pt idx="6">
                  <c:v>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115</c:v>
                </c:pt>
                <c:pt idx="12">
                  <c:v>29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17</c:v>
                </c:pt>
                <c:pt idx="18">
                  <c:v>16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2"/>
          <c:tx>
            <c:strRef>
              <c:f>Summary!$K$4</c:f>
              <c:strCache>
                <c:ptCount val="1"/>
                <c:pt idx="0">
                  <c:v>RTL F3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Summary!$K$6:$K$31</c:f>
              <c:numCache>
                <c:formatCode>General</c:formatCode>
                <c:ptCount val="26"/>
                <c:pt idx="0">
                  <c:v>2</c:v>
                </c:pt>
                <c:pt idx="1">
                  <c:v>243</c:v>
                </c:pt>
                <c:pt idx="2">
                  <c:v>0</c:v>
                </c:pt>
                <c:pt idx="3">
                  <c:v>27</c:v>
                </c:pt>
                <c:pt idx="4">
                  <c:v>0</c:v>
                </c:pt>
                <c:pt idx="5">
                  <c:v>0</c:v>
                </c:pt>
                <c:pt idx="6">
                  <c:v>14</c:v>
                </c:pt>
                <c:pt idx="7">
                  <c:v>1</c:v>
                </c:pt>
                <c:pt idx="8">
                  <c:v>34</c:v>
                </c:pt>
                <c:pt idx="9">
                  <c:v>0</c:v>
                </c:pt>
                <c:pt idx="10">
                  <c:v>0</c:v>
                </c:pt>
                <c:pt idx="11">
                  <c:v>115</c:v>
                </c:pt>
                <c:pt idx="12">
                  <c:v>1</c:v>
                </c:pt>
                <c:pt idx="13">
                  <c:v>17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17</c:v>
                </c:pt>
                <c:pt idx="18">
                  <c:v>17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3"/>
          <c:tx>
            <c:strRef>
              <c:f>Summary!$R$3</c:f>
              <c:strCache>
                <c:ptCount val="1"/>
                <c:pt idx="0">
                  <c:v>FPGA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Summary!$C$6:$C$31</c:f>
              <c:strCache>
                <c:ptCount val="26"/>
                <c:pt idx="0">
                  <c:v>Cortex-M3</c:v>
                </c:pt>
                <c:pt idx="1">
                  <c:v>HCT</c:v>
                </c:pt>
                <c:pt idx="2">
                  <c:v>FCT</c:v>
                </c:pt>
                <c:pt idx="3">
                  <c:v>Buffer Manager</c:v>
                </c:pt>
                <c:pt idx="4">
                  <c:v>Search Engine</c:v>
                </c:pt>
                <c:pt idx="5">
                  <c:v>MTSE</c:v>
                </c:pt>
                <c:pt idx="6">
                  <c:v>System Memory</c:v>
                </c:pt>
                <c:pt idx="7">
                  <c:v>Linked List SE</c:v>
                </c:pt>
                <c:pt idx="8">
                  <c:v>DMA</c:v>
                </c:pt>
                <c:pt idx="9">
                  <c:v>Back Bone</c:v>
                </c:pt>
                <c:pt idx="10">
                  <c:v>Analog IP</c:v>
                </c:pt>
                <c:pt idx="11">
                  <c:v>SysCtrl: PMU</c:v>
                </c:pt>
                <c:pt idx="12">
                  <c:v>RPMB</c:v>
                </c:pt>
                <c:pt idx="13">
                  <c:v>Mail Box</c:v>
                </c:pt>
                <c:pt idx="14">
                  <c:v>Timer</c:v>
                </c:pt>
                <c:pt idx="15">
                  <c:v>WDT</c:v>
                </c:pt>
                <c:pt idx="16">
                  <c:v>UART</c:v>
                </c:pt>
                <c:pt idx="17">
                  <c:v>SysCtrl: Clock</c:v>
                </c:pt>
                <c:pt idx="18">
                  <c:v>SysCtrl: Reset</c:v>
                </c:pt>
                <c:pt idx="19">
                  <c:v>eFuse Controller</c:v>
                </c:pt>
                <c:pt idx="20">
                  <c:v>M-PHY</c:v>
                </c:pt>
                <c:pt idx="21">
                  <c:v>Nand PHY</c:v>
                </c:pt>
                <c:pt idx="22">
                  <c:v>Nand IO</c:v>
                </c:pt>
                <c:pt idx="23">
                  <c:v>I/O Mux</c:v>
                </c:pt>
                <c:pt idx="24">
                  <c:v>HW Bypass</c:v>
                </c:pt>
                <c:pt idx="25">
                  <c:v>End to End</c:v>
                </c:pt>
              </c:strCache>
            </c:strRef>
          </c:cat>
          <c:val>
            <c:numRef>
              <c:f>Summary!$R$6:$R$31</c:f>
              <c:numCache>
                <c:formatCode>General</c:formatCode>
                <c:ptCount val="26"/>
                <c:pt idx="0">
                  <c:v>18</c:v>
                </c:pt>
                <c:pt idx="1">
                  <c:v>234</c:v>
                </c:pt>
                <c:pt idx="2">
                  <c:v>0</c:v>
                </c:pt>
                <c:pt idx="3">
                  <c:v>23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22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61</c:v>
                </c:pt>
                <c:pt idx="12">
                  <c:v>18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</c:v>
                </c:pt>
                <c:pt idx="18">
                  <c:v>14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4"/>
          <c:tx>
            <c:strRef>
              <c:f>Summary!$W$3</c:f>
              <c:strCache>
                <c:ptCount val="1"/>
                <c:pt idx="0">
                  <c:v>POST Sim.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Summary!$C$6:$C$31</c:f>
              <c:strCache>
                <c:ptCount val="26"/>
                <c:pt idx="0">
                  <c:v>Cortex-M3</c:v>
                </c:pt>
                <c:pt idx="1">
                  <c:v>HCT</c:v>
                </c:pt>
                <c:pt idx="2">
                  <c:v>FCT</c:v>
                </c:pt>
                <c:pt idx="3">
                  <c:v>Buffer Manager</c:v>
                </c:pt>
                <c:pt idx="4">
                  <c:v>Search Engine</c:v>
                </c:pt>
                <c:pt idx="5">
                  <c:v>MTSE</c:v>
                </c:pt>
                <c:pt idx="6">
                  <c:v>System Memory</c:v>
                </c:pt>
                <c:pt idx="7">
                  <c:v>Linked List SE</c:v>
                </c:pt>
                <c:pt idx="8">
                  <c:v>DMA</c:v>
                </c:pt>
                <c:pt idx="9">
                  <c:v>Back Bone</c:v>
                </c:pt>
                <c:pt idx="10">
                  <c:v>Analog IP</c:v>
                </c:pt>
                <c:pt idx="11">
                  <c:v>SysCtrl: PMU</c:v>
                </c:pt>
                <c:pt idx="12">
                  <c:v>RPMB</c:v>
                </c:pt>
                <c:pt idx="13">
                  <c:v>Mail Box</c:v>
                </c:pt>
                <c:pt idx="14">
                  <c:v>Timer</c:v>
                </c:pt>
                <c:pt idx="15">
                  <c:v>WDT</c:v>
                </c:pt>
                <c:pt idx="16">
                  <c:v>UART</c:v>
                </c:pt>
                <c:pt idx="17">
                  <c:v>SysCtrl: Clock</c:v>
                </c:pt>
                <c:pt idx="18">
                  <c:v>SysCtrl: Reset</c:v>
                </c:pt>
                <c:pt idx="19">
                  <c:v>eFuse Controller</c:v>
                </c:pt>
                <c:pt idx="20">
                  <c:v>M-PHY</c:v>
                </c:pt>
                <c:pt idx="21">
                  <c:v>Nand PHY</c:v>
                </c:pt>
                <c:pt idx="22">
                  <c:v>Nand IO</c:v>
                </c:pt>
                <c:pt idx="23">
                  <c:v>I/O Mux</c:v>
                </c:pt>
                <c:pt idx="24">
                  <c:v>HW Bypass</c:v>
                </c:pt>
                <c:pt idx="25">
                  <c:v>End to End</c:v>
                </c:pt>
              </c:strCache>
            </c:strRef>
          </c:cat>
          <c:val>
            <c:numRef>
              <c:f>Summary!$W$6:$W$31</c:f>
              <c:numCache>
                <c:formatCode>General</c:formatCode>
                <c:ptCount val="26"/>
                <c:pt idx="0">
                  <c:v>4</c:v>
                </c:pt>
                <c:pt idx="1">
                  <c:v>4</c:v>
                </c:pt>
                <c:pt idx="2">
                  <c:v>0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  <c:pt idx="11">
                  <c:v>114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17</c:v>
                </c:pt>
                <c:pt idx="18">
                  <c:v>18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5"/>
          <c:tx>
            <c:strRef>
              <c:f>Summary!$AB$3</c:f>
              <c:strCache>
                <c:ptCount val="1"/>
                <c:pt idx="0">
                  <c:v>ASIC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Summary!$C$6:$C$31</c:f>
              <c:strCache>
                <c:ptCount val="26"/>
                <c:pt idx="0">
                  <c:v>Cortex-M3</c:v>
                </c:pt>
                <c:pt idx="1">
                  <c:v>HCT</c:v>
                </c:pt>
                <c:pt idx="2">
                  <c:v>FCT</c:v>
                </c:pt>
                <c:pt idx="3">
                  <c:v>Buffer Manager</c:v>
                </c:pt>
                <c:pt idx="4">
                  <c:v>Search Engine</c:v>
                </c:pt>
                <c:pt idx="5">
                  <c:v>MTSE</c:v>
                </c:pt>
                <c:pt idx="6">
                  <c:v>System Memory</c:v>
                </c:pt>
                <c:pt idx="7">
                  <c:v>Linked List SE</c:v>
                </c:pt>
                <c:pt idx="8">
                  <c:v>DMA</c:v>
                </c:pt>
                <c:pt idx="9">
                  <c:v>Back Bone</c:v>
                </c:pt>
                <c:pt idx="10">
                  <c:v>Analog IP</c:v>
                </c:pt>
                <c:pt idx="11">
                  <c:v>SysCtrl: PMU</c:v>
                </c:pt>
                <c:pt idx="12">
                  <c:v>RPMB</c:v>
                </c:pt>
                <c:pt idx="13">
                  <c:v>Mail Box</c:v>
                </c:pt>
                <c:pt idx="14">
                  <c:v>Timer</c:v>
                </c:pt>
                <c:pt idx="15">
                  <c:v>WDT</c:v>
                </c:pt>
                <c:pt idx="16">
                  <c:v>UART</c:v>
                </c:pt>
                <c:pt idx="17">
                  <c:v>SysCtrl: Clock</c:v>
                </c:pt>
                <c:pt idx="18">
                  <c:v>SysCtrl: Reset</c:v>
                </c:pt>
                <c:pt idx="19">
                  <c:v>eFuse Controller</c:v>
                </c:pt>
                <c:pt idx="20">
                  <c:v>M-PHY</c:v>
                </c:pt>
                <c:pt idx="21">
                  <c:v>Nand PHY</c:v>
                </c:pt>
                <c:pt idx="22">
                  <c:v>Nand IO</c:v>
                </c:pt>
                <c:pt idx="23">
                  <c:v>I/O Mux</c:v>
                </c:pt>
                <c:pt idx="24">
                  <c:v>HW Bypass</c:v>
                </c:pt>
                <c:pt idx="25">
                  <c:v>End to End</c:v>
                </c:pt>
              </c:strCache>
            </c:strRef>
          </c:cat>
          <c:val>
            <c:numRef>
              <c:f>Summary!$AB$6:$AB$31</c:f>
              <c:numCache>
                <c:formatCode>General</c:formatCode>
                <c:ptCount val="26"/>
                <c:pt idx="0">
                  <c:v>15</c:v>
                </c:pt>
                <c:pt idx="1">
                  <c:v>232</c:v>
                </c:pt>
                <c:pt idx="2">
                  <c:v>0</c:v>
                </c:pt>
                <c:pt idx="3">
                  <c:v>23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21</c:v>
                </c:pt>
                <c:pt idx="8">
                  <c:v>13</c:v>
                </c:pt>
                <c:pt idx="9">
                  <c:v>0</c:v>
                </c:pt>
                <c:pt idx="10">
                  <c:v>0</c:v>
                </c:pt>
                <c:pt idx="11">
                  <c:v>104</c:v>
                </c:pt>
                <c:pt idx="12">
                  <c:v>18</c:v>
                </c:pt>
                <c:pt idx="13">
                  <c:v>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12</c:v>
                </c:pt>
                <c:pt idx="18">
                  <c:v>17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gapDepth val="95"/>
        <c:shape val="box"/>
        <c:axId val="262576976"/>
        <c:axId val="262577360"/>
        <c:axId val="0"/>
      </c:bar3DChart>
      <c:catAx>
        <c:axId val="26257697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2577360"/>
        <c:crosses val="autoZero"/>
        <c:auto val="1"/>
        <c:lblAlgn val="ctr"/>
        <c:lblOffset val="100"/>
        <c:noMultiLvlLbl val="0"/>
      </c:catAx>
      <c:valAx>
        <c:axId val="262577360"/>
        <c:scaling>
          <c:orientation val="minMax"/>
        </c:scaling>
        <c:delete val="1"/>
        <c:axPos val="t"/>
        <c:numFmt formatCode="0%" sourceLinked="1"/>
        <c:majorTickMark val="out"/>
        <c:minorTickMark val="none"/>
        <c:tickLblPos val="none"/>
        <c:crossAx val="26257697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733" l="0.70000000000000062" r="0.70000000000000062" t="0.75000000000000733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altLang="ko-KR" sz="1400"/>
              <a:t>Progress</a:t>
            </a:r>
            <a:endParaRPr lang="ko-KR" altLang="en-US" sz="1400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1"/>
        <c:ser>
          <c:idx val="0"/>
          <c:order val="0"/>
          <c:tx>
            <c:v>Progress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(Summary!$G$3,Summary!$R$3,Summary!$W$3)</c:f>
              <c:strCache>
                <c:ptCount val="3"/>
                <c:pt idx="0">
                  <c:v>RTL Sim.</c:v>
                </c:pt>
                <c:pt idx="1">
                  <c:v>FPGA</c:v>
                </c:pt>
                <c:pt idx="2">
                  <c:v>POST Sim.</c:v>
                </c:pt>
              </c:strCache>
            </c:strRef>
          </c:cat>
          <c:val>
            <c:numRef>
              <c:f>(Summary!$M$34,Summary!$T$34,Summary!$Y$34)</c:f>
              <c:numCache>
                <c:formatCode>0.0%</c:formatCode>
                <c:ptCount val="3"/>
                <c:pt idx="0">
                  <c:v>0.27851465003562442</c:v>
                </c:pt>
                <c:pt idx="1">
                  <c:v>2.4193548387096774E-2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gapDepth val="55"/>
        <c:shape val="box"/>
        <c:axId val="291524080"/>
        <c:axId val="260130408"/>
        <c:axId val="0"/>
      </c:bar3DChart>
      <c:catAx>
        <c:axId val="291524080"/>
        <c:scaling>
          <c:orientation val="minMax"/>
        </c:scaling>
        <c:delete val="0"/>
        <c:axPos val="b"/>
        <c:numFmt formatCode="0.0%" sourceLinked="0"/>
        <c:majorTickMark val="none"/>
        <c:minorTickMark val="none"/>
        <c:tickLblPos val="nextTo"/>
        <c:crossAx val="260130408"/>
        <c:crosses val="autoZero"/>
        <c:auto val="1"/>
        <c:lblAlgn val="ctr"/>
        <c:lblOffset val="100"/>
        <c:noMultiLvlLbl val="0"/>
      </c:catAx>
      <c:valAx>
        <c:axId val="260130408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crossAx val="2915240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altLang="ko-KR" sz="1400" b="1" i="0" baseline="0">
                <a:effectLst/>
              </a:rPr>
              <a:t>Test Category: RTL sim. F3</a:t>
            </a:r>
            <a:endParaRPr lang="ko-KR" altLang="ko-KR" sz="1400">
              <a:effectLst/>
            </a:endParaRP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5.5654499521527873E-2"/>
                  <c:y val="6.72745318540318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4.6215626083228514E-3"/>
                  <c:y val="1.12943192312511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8.4982450378354862E-2"/>
                  <c:y val="6.74827134273739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Statistic_Table!$D$4:$H$4</c:f>
              <c:strCache>
                <c:ptCount val="5"/>
                <c:pt idx="0">
                  <c:v>Sanity </c:v>
                </c:pt>
                <c:pt idx="1">
                  <c:v>Function</c:v>
                </c:pt>
                <c:pt idx="2">
                  <c:v>Comprehensive</c:v>
                </c:pt>
                <c:pt idx="3">
                  <c:v>Performance &amp; Regression</c:v>
                </c:pt>
                <c:pt idx="4">
                  <c:v>Specific &amp; Etc.</c:v>
                </c:pt>
              </c:strCache>
            </c:strRef>
          </c:cat>
          <c:val>
            <c:numRef>
              <c:f>Statistic_Table!$N$31:$R$31</c:f>
              <c:numCache>
                <c:formatCode>General</c:formatCode>
                <c:ptCount val="5"/>
                <c:pt idx="0">
                  <c:v>30</c:v>
                </c:pt>
                <c:pt idx="1">
                  <c:v>276</c:v>
                </c:pt>
                <c:pt idx="2">
                  <c:v>163</c:v>
                </c:pt>
                <c:pt idx="3">
                  <c:v>12</c:v>
                </c:pt>
                <c:pt idx="4">
                  <c:v>2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altLang="ko-KR" sz="1400" b="1" i="0" baseline="0">
                <a:effectLst/>
              </a:rPr>
              <a:t>Test Category: FPGA</a:t>
            </a:r>
            <a:endParaRPr lang="ko-KR" altLang="ko-KR" sz="1400">
              <a:effectLst/>
            </a:endParaRP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5.5654499521527873E-2"/>
                  <c:y val="6.72745318540318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4.6215626083228514E-3"/>
                  <c:y val="1.12943192312511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8.4982450378354862E-2"/>
                  <c:y val="6.74827134273739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Statistic_Table!$D$4:$H$4</c:f>
              <c:strCache>
                <c:ptCount val="5"/>
                <c:pt idx="0">
                  <c:v>Sanity </c:v>
                </c:pt>
                <c:pt idx="1">
                  <c:v>Function</c:v>
                </c:pt>
                <c:pt idx="2">
                  <c:v>Comprehensive</c:v>
                </c:pt>
                <c:pt idx="3">
                  <c:v>Performance &amp; Regression</c:v>
                </c:pt>
                <c:pt idx="4">
                  <c:v>Specific &amp; Etc.</c:v>
                </c:pt>
              </c:strCache>
            </c:strRef>
          </c:cat>
          <c:val>
            <c:numRef>
              <c:f>Statistic_Table!$S$31:$W$31</c:f>
              <c:numCache>
                <c:formatCode>General</c:formatCode>
                <c:ptCount val="5"/>
                <c:pt idx="0">
                  <c:v>25</c:v>
                </c:pt>
                <c:pt idx="1">
                  <c:v>278</c:v>
                </c:pt>
                <c:pt idx="2">
                  <c:v>119</c:v>
                </c:pt>
                <c:pt idx="3">
                  <c:v>5</c:v>
                </c:pt>
                <c:pt idx="4">
                  <c:v>2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altLang="ko-KR" sz="1400" b="1" i="0" baseline="0">
                <a:effectLst/>
              </a:rPr>
              <a:t>Test Category: ASIC</a:t>
            </a:r>
            <a:endParaRPr lang="ko-KR" altLang="ko-KR" sz="1400">
              <a:effectLst/>
            </a:endParaRP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5.5654499521527873E-2"/>
                  <c:y val="6.72745318540318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4.6215626083228514E-3"/>
                  <c:y val="1.12943192312511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8.4982450378354862E-2"/>
                  <c:y val="6.74827134273739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Statistic_Table!$D$4:$H$4</c:f>
              <c:strCache>
                <c:ptCount val="5"/>
                <c:pt idx="0">
                  <c:v>Sanity </c:v>
                </c:pt>
                <c:pt idx="1">
                  <c:v>Function</c:v>
                </c:pt>
                <c:pt idx="2">
                  <c:v>Comprehensive</c:v>
                </c:pt>
                <c:pt idx="3">
                  <c:v>Performance &amp; Regression</c:v>
                </c:pt>
                <c:pt idx="4">
                  <c:v>Specific &amp; Etc.</c:v>
                </c:pt>
              </c:strCache>
            </c:strRef>
          </c:cat>
          <c:val>
            <c:numRef>
              <c:f>Statistic_Table!$AC$31:$AG$31</c:f>
              <c:numCache>
                <c:formatCode>General</c:formatCode>
                <c:ptCount val="5"/>
                <c:pt idx="0">
                  <c:v>23</c:v>
                </c:pt>
                <c:pt idx="1">
                  <c:v>260</c:v>
                </c:pt>
                <c:pt idx="2">
                  <c:v>176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altLang="ko-KR" sz="1400"/>
              <a:t>Test Category: Whole Env.</a:t>
            </a:r>
            <a:endParaRPr lang="ko-KR" altLang="en-US" sz="1400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Statistic_Table!$D$4:$H$4</c:f>
              <c:strCache>
                <c:ptCount val="5"/>
                <c:pt idx="0">
                  <c:v>Sanity </c:v>
                </c:pt>
                <c:pt idx="1">
                  <c:v>Function</c:v>
                </c:pt>
                <c:pt idx="2">
                  <c:v>Comprehensive</c:v>
                </c:pt>
                <c:pt idx="3">
                  <c:v>Performance &amp; Regression</c:v>
                </c:pt>
                <c:pt idx="4">
                  <c:v>Specific &amp; Etc.</c:v>
                </c:pt>
              </c:strCache>
            </c:strRef>
          </c:tx>
          <c:explosion val="25"/>
          <c:dLbls>
            <c:dLbl>
              <c:idx val="0"/>
              <c:layout>
                <c:manualLayout>
                  <c:x val="0.14086325144061684"/>
                  <c:y val="1.843082114735658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0.18499859947127484"/>
                  <c:y val="8.32860892388451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189807714269941"/>
                      <c:h val="0.15378590176227971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0.15411219476433"/>
                  <c:y val="5.45755530558680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0.12984171834797778"/>
                  <c:y val="6.592425946756655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Statistic_Table!$D$4:$H$4</c:f>
              <c:strCache>
                <c:ptCount val="5"/>
                <c:pt idx="0">
                  <c:v>Sanity </c:v>
                </c:pt>
                <c:pt idx="1">
                  <c:v>Function</c:v>
                </c:pt>
                <c:pt idx="2">
                  <c:v>Comprehensive</c:v>
                </c:pt>
                <c:pt idx="3">
                  <c:v>Performance &amp; Regression</c:v>
                </c:pt>
                <c:pt idx="4">
                  <c:v>Specific &amp; Etc.</c:v>
                </c:pt>
              </c:strCache>
            </c:strRef>
          </c:cat>
          <c:val>
            <c:numRef>
              <c:f>Statistic_Table!$D$33:$H$33</c:f>
              <c:numCache>
                <c:formatCode>General</c:formatCode>
                <c:ptCount val="5"/>
                <c:pt idx="0">
                  <c:v>164</c:v>
                </c:pt>
                <c:pt idx="1">
                  <c:v>1436</c:v>
                </c:pt>
                <c:pt idx="2">
                  <c:v>849</c:v>
                </c:pt>
                <c:pt idx="3">
                  <c:v>59</c:v>
                </c:pt>
                <c:pt idx="4">
                  <c:v>18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Test Level(whole)</a:t>
            </a:r>
            <a:endParaRPr lang="ko-KR" alt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2.1538819744306156E-2"/>
                  <c:y val="3.097133694043125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7.8518965371264082E-3"/>
                  <c:y val="9.056489442763823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Statistic_Table!#REF!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Statistic_Table!#REF!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Test Category(RTL sim.)</a:t>
            </a:r>
            <a:endParaRPr lang="ko-KR" alt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2"/>
              <c:layout>
                <c:manualLayout>
                  <c:x val="-0.10835979171958346"/>
                  <c:y val="0.14995275590551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9.5181610363220731E-2"/>
                  <c:y val="5.933745781777310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0.10112183557700449"/>
                  <c:y val="6.373528308961383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Statistic_Table!$D$4:$R$4</c:f>
              <c:strCache>
                <c:ptCount val="15"/>
                <c:pt idx="0">
                  <c:v>Sanity </c:v>
                </c:pt>
                <c:pt idx="1">
                  <c:v>Function</c:v>
                </c:pt>
                <c:pt idx="2">
                  <c:v>Comprehensive</c:v>
                </c:pt>
                <c:pt idx="3">
                  <c:v>Performance &amp; Regression</c:v>
                </c:pt>
                <c:pt idx="4">
                  <c:v>Specific &amp; Etc.</c:v>
                </c:pt>
                <c:pt idx="5">
                  <c:v>Sanity </c:v>
                </c:pt>
                <c:pt idx="6">
                  <c:v>Function</c:v>
                </c:pt>
                <c:pt idx="7">
                  <c:v>Comprehensive</c:v>
                </c:pt>
                <c:pt idx="8">
                  <c:v>Performance &amp; Regression</c:v>
                </c:pt>
                <c:pt idx="9">
                  <c:v>Specific &amp; Etc.</c:v>
                </c:pt>
                <c:pt idx="10">
                  <c:v>Sanity </c:v>
                </c:pt>
                <c:pt idx="11">
                  <c:v>Function</c:v>
                </c:pt>
                <c:pt idx="12">
                  <c:v>Comprehensive</c:v>
                </c:pt>
                <c:pt idx="13">
                  <c:v>Performance &amp; Regression</c:v>
                </c:pt>
                <c:pt idx="14">
                  <c:v>Specific &amp; Etc.</c:v>
                </c:pt>
              </c:strCache>
            </c:strRef>
          </c:cat>
          <c:val>
            <c:numRef>
              <c:f>Statistic_Table!$D$31:$R$31</c:f>
              <c:numCache>
                <c:formatCode>General</c:formatCode>
                <c:ptCount val="15"/>
                <c:pt idx="0">
                  <c:v>46</c:v>
                </c:pt>
                <c:pt idx="1">
                  <c:v>533</c:v>
                </c:pt>
                <c:pt idx="2">
                  <c:v>62</c:v>
                </c:pt>
                <c:pt idx="3">
                  <c:v>26</c:v>
                </c:pt>
                <c:pt idx="4">
                  <c:v>11</c:v>
                </c:pt>
                <c:pt idx="5">
                  <c:v>22</c:v>
                </c:pt>
                <c:pt idx="6">
                  <c:v>68</c:v>
                </c:pt>
                <c:pt idx="7">
                  <c:v>176</c:v>
                </c:pt>
                <c:pt idx="8">
                  <c:v>14</c:v>
                </c:pt>
                <c:pt idx="9">
                  <c:v>1</c:v>
                </c:pt>
                <c:pt idx="10">
                  <c:v>30</c:v>
                </c:pt>
                <c:pt idx="11">
                  <c:v>276</c:v>
                </c:pt>
                <c:pt idx="12">
                  <c:v>163</c:v>
                </c:pt>
                <c:pt idx="13">
                  <c:v>12</c:v>
                </c:pt>
                <c:pt idx="14">
                  <c:v>2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 sz="1800" b="1" i="0" u="none" strike="noStrike" baseline="0"/>
              <a:t>Test Category(FPGA)</a:t>
            </a:r>
            <a:endParaRPr lang="ko-KR" alt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5.5654499521527873E-2"/>
                  <c:y val="6.727453185403177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4.6215626083228514E-3"/>
                  <c:y val="1.12943192312511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8.4982450378354862E-2"/>
                  <c:y val="6.74827134273739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Statistic_Table!$S$4:$W$4</c:f>
              <c:strCache>
                <c:ptCount val="5"/>
                <c:pt idx="0">
                  <c:v>Sanity </c:v>
                </c:pt>
                <c:pt idx="1">
                  <c:v>Function</c:v>
                </c:pt>
                <c:pt idx="2">
                  <c:v>Comprehensive</c:v>
                </c:pt>
                <c:pt idx="3">
                  <c:v>Performance &amp; Regression</c:v>
                </c:pt>
                <c:pt idx="4">
                  <c:v>Specific &amp; Etc.</c:v>
                </c:pt>
              </c:strCache>
            </c:strRef>
          </c:cat>
          <c:val>
            <c:numRef>
              <c:f>Statistic_Table!$S$31:$W$31</c:f>
              <c:numCache>
                <c:formatCode>General</c:formatCode>
                <c:ptCount val="5"/>
                <c:pt idx="0">
                  <c:v>25</c:v>
                </c:pt>
                <c:pt idx="1">
                  <c:v>278</c:v>
                </c:pt>
                <c:pt idx="2">
                  <c:v>119</c:v>
                </c:pt>
                <c:pt idx="3">
                  <c:v>5</c:v>
                </c:pt>
                <c:pt idx="4">
                  <c:v>2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 sz="1800" b="1" i="0" baseline="0"/>
              <a:t>Test Level(w/o ASIC)</a:t>
            </a:r>
            <a:endParaRPr lang="ko-KR" altLang="ko-KR" sz="1800" b="1" i="0" baseline="0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2.1141599724276892E-3"/>
                  <c:y val="5.4118378999844299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3.6106789681592831E-2"/>
                  <c:y val="-2.23540978627087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Statistic_Table!#REF!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Statistic_Table!#REF!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Test Case(RTL</a:t>
            </a:r>
            <a:r>
              <a:rPr lang="en-US" altLang="ko-KR" baseline="0"/>
              <a:t> sim.</a:t>
            </a:r>
            <a:r>
              <a:rPr lang="en-US" altLang="ko-KR"/>
              <a:t>)</a:t>
            </a:r>
            <a:endParaRPr lang="ko-KR" alt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Summary!$C$6:$C$31</c:f>
              <c:strCache>
                <c:ptCount val="26"/>
                <c:pt idx="0">
                  <c:v>Cortex-M3</c:v>
                </c:pt>
                <c:pt idx="1">
                  <c:v>HCT</c:v>
                </c:pt>
                <c:pt idx="2">
                  <c:v>FCT</c:v>
                </c:pt>
                <c:pt idx="3">
                  <c:v>Buffer Manager</c:v>
                </c:pt>
                <c:pt idx="4">
                  <c:v>Search Engine</c:v>
                </c:pt>
                <c:pt idx="5">
                  <c:v>MTSE</c:v>
                </c:pt>
                <c:pt idx="6">
                  <c:v>System Memory</c:v>
                </c:pt>
                <c:pt idx="7">
                  <c:v>Linked List SE</c:v>
                </c:pt>
                <c:pt idx="8">
                  <c:v>DMA</c:v>
                </c:pt>
                <c:pt idx="9">
                  <c:v>Back Bone</c:v>
                </c:pt>
                <c:pt idx="10">
                  <c:v>Analog IP</c:v>
                </c:pt>
                <c:pt idx="11">
                  <c:v>SysCtrl: PMU</c:v>
                </c:pt>
                <c:pt idx="12">
                  <c:v>RPMB</c:v>
                </c:pt>
                <c:pt idx="13">
                  <c:v>Mail Box</c:v>
                </c:pt>
                <c:pt idx="14">
                  <c:v>Timer</c:v>
                </c:pt>
                <c:pt idx="15">
                  <c:v>WDT</c:v>
                </c:pt>
                <c:pt idx="16">
                  <c:v>UART</c:v>
                </c:pt>
                <c:pt idx="17">
                  <c:v>SysCtrl: Clock</c:v>
                </c:pt>
                <c:pt idx="18">
                  <c:v>SysCtrl: Reset</c:v>
                </c:pt>
                <c:pt idx="19">
                  <c:v>eFuse Controller</c:v>
                </c:pt>
                <c:pt idx="20">
                  <c:v>M-PHY</c:v>
                </c:pt>
                <c:pt idx="21">
                  <c:v>Nand PHY</c:v>
                </c:pt>
                <c:pt idx="22">
                  <c:v>Nand IO</c:v>
                </c:pt>
                <c:pt idx="23">
                  <c:v>I/O Mux</c:v>
                </c:pt>
                <c:pt idx="24">
                  <c:v>HW Bypass</c:v>
                </c:pt>
                <c:pt idx="25">
                  <c:v>End to End</c:v>
                </c:pt>
              </c:strCache>
            </c:strRef>
          </c:cat>
          <c:val>
            <c:numRef>
              <c:f>Summary!$G$6:$G$31</c:f>
              <c:numCache>
                <c:formatCode>General</c:formatCode>
                <c:ptCount val="26"/>
                <c:pt idx="0">
                  <c:v>18</c:v>
                </c:pt>
                <c:pt idx="1">
                  <c:v>281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0</c:v>
                </c:pt>
                <c:pt idx="6">
                  <c:v>107</c:v>
                </c:pt>
                <c:pt idx="7">
                  <c:v>21</c:v>
                </c:pt>
                <c:pt idx="8">
                  <c:v>29</c:v>
                </c:pt>
                <c:pt idx="9">
                  <c:v>4</c:v>
                </c:pt>
                <c:pt idx="10">
                  <c:v>0</c:v>
                </c:pt>
                <c:pt idx="11">
                  <c:v>79</c:v>
                </c:pt>
                <c:pt idx="12">
                  <c:v>27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17</c:v>
                </c:pt>
                <c:pt idx="18">
                  <c:v>15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Test</a:t>
            </a:r>
            <a:r>
              <a:rPr lang="en-US" altLang="ko-KR" baseline="0"/>
              <a:t> Case Ratio: </a:t>
            </a:r>
            <a:r>
              <a:rPr lang="en-US" altLang="ko-KR"/>
              <a:t>FPGA</a:t>
            </a:r>
            <a:endParaRPr lang="ko-KR" alt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Summary!$C$6:$C$31</c:f>
              <c:strCache>
                <c:ptCount val="26"/>
                <c:pt idx="0">
                  <c:v>Cortex-M3</c:v>
                </c:pt>
                <c:pt idx="1">
                  <c:v>HCT</c:v>
                </c:pt>
                <c:pt idx="2">
                  <c:v>FCT</c:v>
                </c:pt>
                <c:pt idx="3">
                  <c:v>Buffer Manager</c:v>
                </c:pt>
                <c:pt idx="4">
                  <c:v>Search Engine</c:v>
                </c:pt>
                <c:pt idx="5">
                  <c:v>MTSE</c:v>
                </c:pt>
                <c:pt idx="6">
                  <c:v>System Memory</c:v>
                </c:pt>
                <c:pt idx="7">
                  <c:v>Linked List SE</c:v>
                </c:pt>
                <c:pt idx="8">
                  <c:v>DMA</c:v>
                </c:pt>
                <c:pt idx="9">
                  <c:v>Back Bone</c:v>
                </c:pt>
                <c:pt idx="10">
                  <c:v>Analog IP</c:v>
                </c:pt>
                <c:pt idx="11">
                  <c:v>SysCtrl: PMU</c:v>
                </c:pt>
                <c:pt idx="12">
                  <c:v>RPMB</c:v>
                </c:pt>
                <c:pt idx="13">
                  <c:v>Mail Box</c:v>
                </c:pt>
                <c:pt idx="14">
                  <c:v>Timer</c:v>
                </c:pt>
                <c:pt idx="15">
                  <c:v>WDT</c:v>
                </c:pt>
                <c:pt idx="16">
                  <c:v>UART</c:v>
                </c:pt>
                <c:pt idx="17">
                  <c:v>SysCtrl: Clock</c:v>
                </c:pt>
                <c:pt idx="18">
                  <c:v>SysCtrl: Reset</c:v>
                </c:pt>
                <c:pt idx="19">
                  <c:v>eFuse Controller</c:v>
                </c:pt>
                <c:pt idx="20">
                  <c:v>M-PHY</c:v>
                </c:pt>
                <c:pt idx="21">
                  <c:v>Nand PHY</c:v>
                </c:pt>
                <c:pt idx="22">
                  <c:v>Nand IO</c:v>
                </c:pt>
                <c:pt idx="23">
                  <c:v>I/O Mux</c:v>
                </c:pt>
                <c:pt idx="24">
                  <c:v>HW Bypass</c:v>
                </c:pt>
                <c:pt idx="25">
                  <c:v>End to End</c:v>
                </c:pt>
              </c:strCache>
            </c:strRef>
          </c:cat>
          <c:val>
            <c:numRef>
              <c:f>Summary!$R$6:$R$31</c:f>
              <c:numCache>
                <c:formatCode>General</c:formatCode>
                <c:ptCount val="26"/>
                <c:pt idx="0">
                  <c:v>18</c:v>
                </c:pt>
                <c:pt idx="1">
                  <c:v>234</c:v>
                </c:pt>
                <c:pt idx="2">
                  <c:v>0</c:v>
                </c:pt>
                <c:pt idx="3">
                  <c:v>23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22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61</c:v>
                </c:pt>
                <c:pt idx="12">
                  <c:v>18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</c:v>
                </c:pt>
                <c:pt idx="18">
                  <c:v>14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Test</a:t>
            </a:r>
            <a:r>
              <a:rPr lang="en-US" altLang="ko-KR" baseline="0"/>
              <a:t> Case Ratio: </a:t>
            </a:r>
            <a:r>
              <a:rPr lang="en-US" altLang="ko-KR"/>
              <a:t>FPGA</a:t>
            </a:r>
            <a:endParaRPr lang="ko-KR" alt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Summary!$C$6:$C$32</c:f>
              <c:strCache>
                <c:ptCount val="27"/>
                <c:pt idx="0">
                  <c:v>Cortex-M3</c:v>
                </c:pt>
                <c:pt idx="1">
                  <c:v>HCT</c:v>
                </c:pt>
                <c:pt idx="2">
                  <c:v>FCT</c:v>
                </c:pt>
                <c:pt idx="3">
                  <c:v>Buffer Manager</c:v>
                </c:pt>
                <c:pt idx="4">
                  <c:v>Search Engine</c:v>
                </c:pt>
                <c:pt idx="5">
                  <c:v>MTSE</c:v>
                </c:pt>
                <c:pt idx="6">
                  <c:v>System Memory</c:v>
                </c:pt>
                <c:pt idx="7">
                  <c:v>Linked List SE</c:v>
                </c:pt>
                <c:pt idx="8">
                  <c:v>DMA</c:v>
                </c:pt>
                <c:pt idx="9">
                  <c:v>Back Bone</c:v>
                </c:pt>
                <c:pt idx="10">
                  <c:v>Analog IP</c:v>
                </c:pt>
                <c:pt idx="11">
                  <c:v>SysCtrl: PMU</c:v>
                </c:pt>
                <c:pt idx="12">
                  <c:v>RPMB</c:v>
                </c:pt>
                <c:pt idx="13">
                  <c:v>Mail Box</c:v>
                </c:pt>
                <c:pt idx="14">
                  <c:v>Timer</c:v>
                </c:pt>
                <c:pt idx="15">
                  <c:v>WDT</c:v>
                </c:pt>
                <c:pt idx="16">
                  <c:v>UART</c:v>
                </c:pt>
                <c:pt idx="17">
                  <c:v>SysCtrl: Clock</c:v>
                </c:pt>
                <c:pt idx="18">
                  <c:v>SysCtrl: Reset</c:v>
                </c:pt>
                <c:pt idx="19">
                  <c:v>eFuse Controller</c:v>
                </c:pt>
                <c:pt idx="20">
                  <c:v>M-PHY</c:v>
                </c:pt>
                <c:pt idx="21">
                  <c:v>Nand PHY</c:v>
                </c:pt>
                <c:pt idx="22">
                  <c:v>Nand IO</c:v>
                </c:pt>
                <c:pt idx="23">
                  <c:v>I/O Mux</c:v>
                </c:pt>
                <c:pt idx="24">
                  <c:v>HW Bypass</c:v>
                </c:pt>
                <c:pt idx="25">
                  <c:v>End to End</c:v>
                </c:pt>
                <c:pt idx="26">
                  <c:v>Post-Silicon Validation</c:v>
                </c:pt>
              </c:strCache>
            </c:strRef>
          </c:cat>
          <c:val>
            <c:numRef>
              <c:f>Summary!$AB$6:$AB$32</c:f>
              <c:numCache>
                <c:formatCode>General</c:formatCode>
                <c:ptCount val="27"/>
                <c:pt idx="0">
                  <c:v>15</c:v>
                </c:pt>
                <c:pt idx="1">
                  <c:v>232</c:v>
                </c:pt>
                <c:pt idx="2">
                  <c:v>0</c:v>
                </c:pt>
                <c:pt idx="3">
                  <c:v>23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21</c:v>
                </c:pt>
                <c:pt idx="8">
                  <c:v>13</c:v>
                </c:pt>
                <c:pt idx="9">
                  <c:v>0</c:v>
                </c:pt>
                <c:pt idx="10">
                  <c:v>0</c:v>
                </c:pt>
                <c:pt idx="11">
                  <c:v>104</c:v>
                </c:pt>
                <c:pt idx="12">
                  <c:v>18</c:v>
                </c:pt>
                <c:pt idx="13">
                  <c:v>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12</c:v>
                </c:pt>
                <c:pt idx="18">
                  <c:v>17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35</xdr:row>
      <xdr:rowOff>73027</xdr:rowOff>
    </xdr:from>
    <xdr:to>
      <xdr:col>21</xdr:col>
      <xdr:colOff>0</xdr:colOff>
      <xdr:row>53</xdr:row>
      <xdr:rowOff>1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21167</xdr:colOff>
      <xdr:row>53</xdr:row>
      <xdr:rowOff>74083</xdr:rowOff>
    </xdr:from>
    <xdr:to>
      <xdr:col>31</xdr:col>
      <xdr:colOff>0</xdr:colOff>
      <xdr:row>71</xdr:row>
      <xdr:rowOff>1057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38100</xdr:colOff>
          <xdr:row>2</xdr:row>
          <xdr:rowOff>9525</xdr:rowOff>
        </xdr:from>
        <xdr:to>
          <xdr:col>38</xdr:col>
          <xdr:colOff>542925</xdr:colOff>
          <xdr:row>5</xdr:row>
          <xdr:rowOff>114300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66675</xdr:colOff>
          <xdr:row>3</xdr:row>
          <xdr:rowOff>9525</xdr:rowOff>
        </xdr:from>
        <xdr:to>
          <xdr:col>29</xdr:col>
          <xdr:colOff>571500</xdr:colOff>
          <xdr:row>6</xdr:row>
          <xdr:rowOff>57150</xdr:rowOff>
        </xdr:to>
        <xdr:sp macro="" textlink="">
          <xdr:nvSpPr>
            <xdr:cNvPr id="15362" name="Object 2" hidden="1">
              <a:extLst>
                <a:ext uri="{63B3BB69-23CF-44E3-9099-C40C66FF867C}">
                  <a14:compatExt spid="_x0000_s153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54</xdr:row>
      <xdr:rowOff>0</xdr:rowOff>
    </xdr:from>
    <xdr:to>
      <xdr:col>5</xdr:col>
      <xdr:colOff>4232</xdr:colOff>
      <xdr:row>66</xdr:row>
      <xdr:rowOff>152400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13757</xdr:colOff>
      <xdr:row>66</xdr:row>
      <xdr:rowOff>171451</xdr:rowOff>
    </xdr:from>
    <xdr:to>
      <xdr:col>5</xdr:col>
      <xdr:colOff>4232</xdr:colOff>
      <xdr:row>79</xdr:row>
      <xdr:rowOff>113243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9524</xdr:colOff>
      <xdr:row>10</xdr:row>
      <xdr:rowOff>28574</xdr:rowOff>
    </xdr:from>
    <xdr:to>
      <xdr:col>5</xdr:col>
      <xdr:colOff>0</xdr:colOff>
      <xdr:row>40</xdr:row>
      <xdr:rowOff>190500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0</xdr:row>
      <xdr:rowOff>19049</xdr:rowOff>
    </xdr:from>
    <xdr:to>
      <xdr:col>5</xdr:col>
      <xdr:colOff>0</xdr:colOff>
      <xdr:row>9</xdr:row>
      <xdr:rowOff>200024</xdr:rowOff>
    </xdr:to>
    <xdr:graphicFrame macro="">
      <xdr:nvGraphicFramePr>
        <xdr:cNvPr id="6" name="차트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0</xdr:row>
          <xdr:rowOff>28575</xdr:rowOff>
        </xdr:from>
        <xdr:to>
          <xdr:col>7</xdr:col>
          <xdr:colOff>533400</xdr:colOff>
          <xdr:row>2</xdr:row>
          <xdr:rowOff>171450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9525</xdr:colOff>
      <xdr:row>79</xdr:row>
      <xdr:rowOff>152400</xdr:rowOff>
    </xdr:from>
    <xdr:to>
      <xdr:col>5</xdr:col>
      <xdr:colOff>0</xdr:colOff>
      <xdr:row>92</xdr:row>
      <xdr:rowOff>94192</xdr:rowOff>
    </xdr:to>
    <xdr:graphicFrame macro="">
      <xdr:nvGraphicFramePr>
        <xdr:cNvPr id="7" name="차트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9525</xdr:colOff>
      <xdr:row>92</xdr:row>
      <xdr:rowOff>133350</xdr:rowOff>
    </xdr:from>
    <xdr:to>
      <xdr:col>5</xdr:col>
      <xdr:colOff>0</xdr:colOff>
      <xdr:row>105</xdr:row>
      <xdr:rowOff>75142</xdr:rowOff>
    </xdr:to>
    <xdr:graphicFrame macro="">
      <xdr:nvGraphicFramePr>
        <xdr:cNvPr id="8" name="차트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9525</xdr:colOff>
      <xdr:row>105</xdr:row>
      <xdr:rowOff>123825</xdr:rowOff>
    </xdr:from>
    <xdr:to>
      <xdr:col>5</xdr:col>
      <xdr:colOff>0</xdr:colOff>
      <xdr:row>118</xdr:row>
      <xdr:rowOff>65617</xdr:rowOff>
    </xdr:to>
    <xdr:graphicFrame macro="">
      <xdr:nvGraphicFramePr>
        <xdr:cNvPr id="9" name="차트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9525</xdr:colOff>
      <xdr:row>41</xdr:row>
      <xdr:rowOff>28575</xdr:rowOff>
    </xdr:from>
    <xdr:to>
      <xdr:col>5</xdr:col>
      <xdr:colOff>4232</xdr:colOff>
      <xdr:row>53</xdr:row>
      <xdr:rowOff>180975</xdr:rowOff>
    </xdr:to>
    <xdr:graphicFrame macro="">
      <xdr:nvGraphicFramePr>
        <xdr:cNvPr id="10" name="차트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116417</xdr:colOff>
      <xdr:row>19</xdr:row>
      <xdr:rowOff>109008</xdr:rowOff>
    </xdr:from>
    <xdr:to>
      <xdr:col>30</xdr:col>
      <xdr:colOff>10584</xdr:colOff>
      <xdr:row>39</xdr:row>
      <xdr:rowOff>10582</xdr:rowOff>
    </xdr:to>
    <xdr:graphicFrame macro="">
      <xdr:nvGraphicFramePr>
        <xdr:cNvPr id="9" name="차트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275167</xdr:colOff>
      <xdr:row>1</xdr:row>
      <xdr:rowOff>11641</xdr:rowOff>
    </xdr:from>
    <xdr:to>
      <xdr:col>14</xdr:col>
      <xdr:colOff>46567</xdr:colOff>
      <xdr:row>19</xdr:row>
      <xdr:rowOff>11641</xdr:rowOff>
    </xdr:to>
    <xdr:graphicFrame macro="">
      <xdr:nvGraphicFramePr>
        <xdr:cNvPr id="10" name="차트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121708</xdr:colOff>
      <xdr:row>1</xdr:row>
      <xdr:rowOff>11642</xdr:rowOff>
    </xdr:from>
    <xdr:to>
      <xdr:col>31</xdr:col>
      <xdr:colOff>338666</xdr:colOff>
      <xdr:row>19</xdr:row>
      <xdr:rowOff>10584</xdr:rowOff>
    </xdr:to>
    <xdr:graphicFrame macro="">
      <xdr:nvGraphicFramePr>
        <xdr:cNvPr id="11" name="차트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269875</xdr:colOff>
      <xdr:row>19</xdr:row>
      <xdr:rowOff>109008</xdr:rowOff>
    </xdr:from>
    <xdr:to>
      <xdr:col>14</xdr:col>
      <xdr:colOff>31750</xdr:colOff>
      <xdr:row>39</xdr:row>
      <xdr:rowOff>0</xdr:rowOff>
    </xdr:to>
    <xdr:graphicFrame macro="">
      <xdr:nvGraphicFramePr>
        <xdr:cNvPr id="12" name="차트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275165</xdr:colOff>
      <xdr:row>39</xdr:row>
      <xdr:rowOff>107949</xdr:rowOff>
    </xdr:from>
    <xdr:to>
      <xdr:col>31</xdr:col>
      <xdr:colOff>328082</xdr:colOff>
      <xdr:row>75</xdr:row>
      <xdr:rowOff>10583</xdr:rowOff>
    </xdr:to>
    <xdr:graphicFrame macro="">
      <xdr:nvGraphicFramePr>
        <xdr:cNvPr id="6" name="차트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88900</xdr:colOff>
      <xdr:row>1</xdr:row>
      <xdr:rowOff>25400</xdr:rowOff>
    </xdr:from>
    <xdr:to>
      <xdr:col>41</xdr:col>
      <xdr:colOff>155575</xdr:colOff>
      <xdr:row>29</xdr:row>
      <xdr:rowOff>127000</xdr:rowOff>
    </xdr:to>
    <xdr:graphicFrame macro="">
      <xdr:nvGraphicFramePr>
        <xdr:cNvPr id="7" name="차트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95250</xdr:colOff>
      <xdr:row>30</xdr:row>
      <xdr:rowOff>95250</xdr:rowOff>
    </xdr:from>
    <xdr:to>
      <xdr:col>41</xdr:col>
      <xdr:colOff>161925</xdr:colOff>
      <xdr:row>59</xdr:row>
      <xdr:rowOff>48683</xdr:rowOff>
    </xdr:to>
    <xdr:graphicFrame macro="">
      <xdr:nvGraphicFramePr>
        <xdr:cNvPr id="8" name="차트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238125</xdr:colOff>
          <xdr:row>1</xdr:row>
          <xdr:rowOff>19050</xdr:rowOff>
        </xdr:from>
        <xdr:to>
          <xdr:col>43</xdr:col>
          <xdr:colOff>57150</xdr:colOff>
          <xdr:row>4</xdr:row>
          <xdr:rowOff>123825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66675</xdr:colOff>
          <xdr:row>1</xdr:row>
          <xdr:rowOff>9525</xdr:rowOff>
        </xdr:from>
        <xdr:to>
          <xdr:col>34</xdr:col>
          <xdr:colOff>571500</xdr:colOff>
          <xdr:row>3</xdr:row>
          <xdr:rowOff>266700</xdr:rowOff>
        </xdr:to>
        <xdr:sp macro="" textlink="">
          <xdr:nvSpPr>
            <xdr:cNvPr id="10243" name="Object 3" hidden="1">
              <a:extLst>
                <a:ext uri="{63B3BB69-23CF-44E3-9099-C40C66FF867C}">
                  <a14:compatExt spid="_x0000_s102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190500</xdr:colOff>
          <xdr:row>3</xdr:row>
          <xdr:rowOff>104775</xdr:rowOff>
        </xdr:from>
        <xdr:to>
          <xdr:col>7</xdr:col>
          <xdr:colOff>9525</xdr:colOff>
          <xdr:row>6</xdr:row>
          <xdr:rowOff>133350</xdr:rowOff>
        </xdr:to>
        <xdr:sp macro="" textlink="">
          <xdr:nvSpPr>
            <xdr:cNvPr id="16386" name="Object 2" hidden="1">
              <a:extLst>
                <a:ext uri="{63B3BB69-23CF-44E3-9099-C40C66FF867C}">
                  <a14:compatExt spid="_x0000_s163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1_Columbus_CM3_Verification_Check_List_v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2_Columbus_HCT_Verification_Check_List_v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03_Columbus_FCT_Verification_Check_List_v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4_Columbus_BM_Verification_Check_List_v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05_Columbus_SE_Verification_Check_List_v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06_Columbus_MTSE_Verification_Check_List_v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07_Columbus_SystemMemory_Verification_Check_List_v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08_Columbus_LinkedListSE_Verification_Check_List_v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09_Columbus_DMA_Verification_Check_List_v3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0_Columbus_Backbone_Verification_Check_List_v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1_Columbus_AnalogIP_Verification_Check_List_v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2_Columbus_PMU_Verification_Check_List_v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3_Columbus_RPMB_Verification_Check_List_v3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4_Columbus_MailBox_Verification_Check_List_v3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5_Columbus_Timer_Verification_Check_List_v3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_Columbus_WDT_Verification_Check_List_v3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7_Columbus_UART_Verification_Check_List_v3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8_Columbus_ClockCtrl_Verification_Check_List_v3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9_Columbus_ResetCtrl_Verification_Check_List_v3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20_Columbus_eFuseCtrl_Verification_Check_List_v3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21_Columbus_M-PHY_Verification_Check_List_v3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22_Columbus_NandPHY_Verification_Check_List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23_Columbus_NandIO_Verification_Check_List_v3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24_Columbus_IoMux_Verification_Check_List_v3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25_Columbus_HwBypass_Verification_Check_List_v3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41_Columbus_EndtoEnd_Verification_Check_List_v3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51_Columbus_PostSilicon_Validation_Check_List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Cortex-M3</v>
          </cell>
          <cell r="C7" t="str">
            <v>최호윤 수석</v>
          </cell>
          <cell r="D7" t="str">
            <v>조성엽 책임</v>
          </cell>
          <cell r="E7">
            <v>18</v>
          </cell>
          <cell r="F7">
            <v>16</v>
          </cell>
          <cell r="G7">
            <v>7</v>
          </cell>
          <cell r="H7">
            <v>3</v>
          </cell>
          <cell r="I7">
            <v>2</v>
          </cell>
          <cell r="J7">
            <v>0</v>
          </cell>
          <cell r="K7">
            <v>0.70370370370370372</v>
          </cell>
          <cell r="L7">
            <v>0</v>
          </cell>
          <cell r="M7">
            <v>0</v>
          </cell>
          <cell r="N7" t="str">
            <v>-</v>
          </cell>
          <cell r="O7">
            <v>18</v>
          </cell>
          <cell r="P7">
            <v>10.5</v>
          </cell>
          <cell r="Q7">
            <v>0.58333333333333337</v>
          </cell>
          <cell r="R7" t="str">
            <v>-</v>
          </cell>
          <cell r="S7">
            <v>4</v>
          </cell>
          <cell r="T7">
            <v>0</v>
          </cell>
          <cell r="U7">
            <v>0</v>
          </cell>
          <cell r="V7" t="str">
            <v>-</v>
          </cell>
          <cell r="W7">
            <v>15</v>
          </cell>
          <cell r="X7">
            <v>0</v>
          </cell>
          <cell r="Y7">
            <v>0</v>
          </cell>
          <cell r="Z7" t="str">
            <v>-</v>
          </cell>
          <cell r="AA7">
            <v>42221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  <row r="11">
          <cell r="E11">
            <v>9</v>
          </cell>
          <cell r="F11">
            <v>1</v>
          </cell>
          <cell r="G11">
            <v>0</v>
          </cell>
          <cell r="H11">
            <v>3</v>
          </cell>
          <cell r="I11">
            <v>2</v>
          </cell>
          <cell r="J11">
            <v>2</v>
          </cell>
        </row>
        <row r="12">
          <cell r="E12">
            <v>9</v>
          </cell>
          <cell r="F12">
            <v>3</v>
          </cell>
          <cell r="G12">
            <v>2</v>
          </cell>
          <cell r="H12">
            <v>14</v>
          </cell>
          <cell r="I12">
            <v>0</v>
          </cell>
          <cell r="J12">
            <v>10</v>
          </cell>
        </row>
        <row r="13">
          <cell r="E13">
            <v>0</v>
          </cell>
          <cell r="F13">
            <v>3</v>
          </cell>
          <cell r="G13">
            <v>0</v>
          </cell>
          <cell r="H13">
            <v>1</v>
          </cell>
          <cell r="I13">
            <v>2</v>
          </cell>
          <cell r="J13">
            <v>3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Sheet1"/>
    </sheetNames>
    <sheetDataSet>
      <sheetData sheetId="0">
        <row r="7">
          <cell r="B7" t="str">
            <v>HCT</v>
          </cell>
          <cell r="C7" t="str">
            <v>이원규 선임</v>
          </cell>
          <cell r="D7" t="str">
            <v>박재우 책임</v>
          </cell>
          <cell r="E7">
            <v>281</v>
          </cell>
          <cell r="F7">
            <v>61</v>
          </cell>
          <cell r="G7">
            <v>61</v>
          </cell>
          <cell r="H7">
            <v>1</v>
          </cell>
          <cell r="I7">
            <v>243</v>
          </cell>
          <cell r="J7">
            <v>0</v>
          </cell>
          <cell r="K7">
            <v>0.10598290598290598</v>
          </cell>
          <cell r="L7">
            <v>0</v>
          </cell>
          <cell r="M7">
            <v>0</v>
          </cell>
          <cell r="N7" t="str">
            <v>-</v>
          </cell>
          <cell r="O7">
            <v>234</v>
          </cell>
          <cell r="P7">
            <v>0</v>
          </cell>
          <cell r="Q7">
            <v>0</v>
          </cell>
          <cell r="R7" t="str">
            <v>-</v>
          </cell>
          <cell r="S7">
            <v>4</v>
          </cell>
          <cell r="T7">
            <v>0</v>
          </cell>
          <cell r="U7">
            <v>0</v>
          </cell>
          <cell r="V7" t="str">
            <v>-</v>
          </cell>
          <cell r="W7">
            <v>232</v>
          </cell>
          <cell r="X7">
            <v>0</v>
          </cell>
          <cell r="Y7">
            <v>0</v>
          </cell>
          <cell r="Z7" t="str">
            <v>-</v>
          </cell>
          <cell r="AA7">
            <v>42222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  <row r="11">
          <cell r="E11">
            <v>1</v>
          </cell>
          <cell r="F11">
            <v>2</v>
          </cell>
          <cell r="G11">
            <v>4</v>
          </cell>
          <cell r="H11">
            <v>3</v>
          </cell>
          <cell r="I11">
            <v>0</v>
          </cell>
          <cell r="J11">
            <v>1</v>
          </cell>
        </row>
        <row r="12">
          <cell r="E12">
            <v>243</v>
          </cell>
          <cell r="F12">
            <v>47</v>
          </cell>
          <cell r="G12">
            <v>225</v>
          </cell>
          <cell r="H12">
            <v>204</v>
          </cell>
          <cell r="I12">
            <v>4</v>
          </cell>
          <cell r="J12">
            <v>204</v>
          </cell>
        </row>
        <row r="13">
          <cell r="E13">
            <v>22</v>
          </cell>
          <cell r="F13">
            <v>0</v>
          </cell>
          <cell r="G13">
            <v>0</v>
          </cell>
          <cell r="H13">
            <v>25</v>
          </cell>
          <cell r="I13">
            <v>0</v>
          </cell>
          <cell r="J13">
            <v>25</v>
          </cell>
        </row>
        <row r="14">
          <cell r="E14">
            <v>11</v>
          </cell>
          <cell r="F14">
            <v>12</v>
          </cell>
          <cell r="G14">
            <v>12</v>
          </cell>
          <cell r="H14">
            <v>0</v>
          </cell>
          <cell r="I14">
            <v>0</v>
          </cell>
          <cell r="J14">
            <v>0</v>
          </cell>
        </row>
        <row r="15">
          <cell r="E15">
            <v>4</v>
          </cell>
          <cell r="F15">
            <v>0</v>
          </cell>
          <cell r="G15">
            <v>2</v>
          </cell>
          <cell r="H15">
            <v>2</v>
          </cell>
          <cell r="I15">
            <v>0</v>
          </cell>
          <cell r="J15">
            <v>2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FCT</v>
          </cell>
          <cell r="C7" t="str">
            <v>천동엽 책임</v>
          </cell>
          <cell r="D7" t="str">
            <v>조성엽 책임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  <row r="11"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Buffer Manager</v>
          </cell>
          <cell r="C7" t="str">
            <v>지대근 책임</v>
          </cell>
          <cell r="D7" t="str">
            <v>조성엽 책임</v>
          </cell>
          <cell r="E7">
            <v>60</v>
          </cell>
          <cell r="F7">
            <v>5</v>
          </cell>
          <cell r="G7">
            <v>26</v>
          </cell>
          <cell r="H7">
            <v>0</v>
          </cell>
          <cell r="I7">
            <v>27</v>
          </cell>
          <cell r="J7">
            <v>0</v>
          </cell>
          <cell r="K7">
            <v>4.4247787610619468E-2</v>
          </cell>
          <cell r="L7">
            <v>0</v>
          </cell>
          <cell r="M7">
            <v>0</v>
          </cell>
          <cell r="N7" t="str">
            <v>-</v>
          </cell>
          <cell r="O7">
            <v>23</v>
          </cell>
          <cell r="P7">
            <v>0</v>
          </cell>
          <cell r="Q7">
            <v>0</v>
          </cell>
          <cell r="R7" t="str">
            <v>-</v>
          </cell>
          <cell r="S7">
            <v>22</v>
          </cell>
          <cell r="T7">
            <v>0</v>
          </cell>
          <cell r="U7">
            <v>0</v>
          </cell>
          <cell r="V7" t="str">
            <v>-</v>
          </cell>
          <cell r="W7">
            <v>23</v>
          </cell>
          <cell r="X7">
            <v>0</v>
          </cell>
          <cell r="Y7">
            <v>0</v>
          </cell>
          <cell r="Z7" t="str">
            <v>-</v>
          </cell>
          <cell r="AA7">
            <v>42195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  <row r="11">
          <cell r="E11">
            <v>5</v>
          </cell>
          <cell r="F11">
            <v>5</v>
          </cell>
          <cell r="G11">
            <v>5</v>
          </cell>
          <cell r="H11">
            <v>5</v>
          </cell>
          <cell r="I11">
            <v>0</v>
          </cell>
          <cell r="J11">
            <v>5</v>
          </cell>
        </row>
        <row r="12">
          <cell r="E12">
            <v>41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E13">
            <v>14</v>
          </cell>
          <cell r="F13">
            <v>21</v>
          </cell>
          <cell r="G13">
            <v>22</v>
          </cell>
          <cell r="H13">
            <v>18</v>
          </cell>
          <cell r="I13">
            <v>22</v>
          </cell>
          <cell r="J13">
            <v>18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Search Engine</v>
          </cell>
          <cell r="C7" t="str">
            <v>김현욱 선임</v>
          </cell>
          <cell r="D7" t="str">
            <v>김현욱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  <row r="11"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MTSE</v>
          </cell>
          <cell r="C7" t="str">
            <v>김현욱 선임</v>
          </cell>
          <cell r="D7" t="str">
            <v>김현욱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  <row r="11"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  <sheetName val="throughput"/>
    </sheetNames>
    <sheetDataSet>
      <sheetData sheetId="0">
        <row r="7">
          <cell r="B7" t="str">
            <v>System Memory</v>
          </cell>
          <cell r="C7" t="str">
            <v>김현욱 선임</v>
          </cell>
          <cell r="D7" t="str">
            <v>김현욱 선임</v>
          </cell>
          <cell r="E7">
            <v>107</v>
          </cell>
          <cell r="F7">
            <v>95</v>
          </cell>
          <cell r="G7">
            <v>14</v>
          </cell>
          <cell r="H7">
            <v>0</v>
          </cell>
          <cell r="I7">
            <v>14</v>
          </cell>
          <cell r="J7">
            <v>0</v>
          </cell>
          <cell r="K7">
            <v>0.70370370370370372</v>
          </cell>
          <cell r="L7">
            <v>0</v>
          </cell>
          <cell r="M7">
            <v>0</v>
          </cell>
          <cell r="N7" t="str">
            <v>-</v>
          </cell>
          <cell r="O7">
            <v>5</v>
          </cell>
          <cell r="P7">
            <v>0</v>
          </cell>
          <cell r="Q7">
            <v>0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5</v>
          </cell>
          <cell r="X7">
            <v>0</v>
          </cell>
          <cell r="Y7">
            <v>0</v>
          </cell>
          <cell r="Z7" t="str">
            <v>-</v>
          </cell>
          <cell r="AA7">
            <v>42222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  <row r="11"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E12">
            <v>73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E13">
            <v>7</v>
          </cell>
          <cell r="F13">
            <v>9</v>
          </cell>
          <cell r="G13">
            <v>9</v>
          </cell>
          <cell r="H13">
            <v>0</v>
          </cell>
          <cell r="I13">
            <v>0</v>
          </cell>
          <cell r="J13">
            <v>0</v>
          </cell>
        </row>
        <row r="14">
          <cell r="E14">
            <v>12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E15">
            <v>7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</sheetData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Linked List SE</v>
          </cell>
          <cell r="C7" t="str">
            <v>안병욱 선임</v>
          </cell>
          <cell r="D7" t="str">
            <v>안병욱 선임</v>
          </cell>
          <cell r="E7">
            <v>21</v>
          </cell>
          <cell r="F7">
            <v>0</v>
          </cell>
          <cell r="G7">
            <v>0</v>
          </cell>
          <cell r="H7">
            <v>0</v>
          </cell>
          <cell r="I7">
            <v>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-</v>
          </cell>
          <cell r="O7">
            <v>22</v>
          </cell>
          <cell r="P7">
            <v>0</v>
          </cell>
          <cell r="Q7">
            <v>0</v>
          </cell>
          <cell r="R7" t="str">
            <v>-</v>
          </cell>
          <cell r="S7">
            <v>5</v>
          </cell>
          <cell r="T7">
            <v>0</v>
          </cell>
          <cell r="U7">
            <v>0</v>
          </cell>
          <cell r="V7" t="str">
            <v>-</v>
          </cell>
          <cell r="W7">
            <v>21</v>
          </cell>
          <cell r="X7">
            <v>0</v>
          </cell>
          <cell r="Y7">
            <v>0</v>
          </cell>
          <cell r="Z7" t="str">
            <v>-</v>
          </cell>
          <cell r="AA7">
            <v>42222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  <row r="11">
          <cell r="E11">
            <v>4</v>
          </cell>
          <cell r="F11">
            <v>0</v>
          </cell>
          <cell r="G11">
            <v>1</v>
          </cell>
          <cell r="H11">
            <v>1</v>
          </cell>
          <cell r="I11">
            <v>2</v>
          </cell>
          <cell r="J11">
            <v>2</v>
          </cell>
        </row>
        <row r="12">
          <cell r="E12">
            <v>15</v>
          </cell>
          <cell r="F12">
            <v>0</v>
          </cell>
          <cell r="G12">
            <v>0</v>
          </cell>
          <cell r="H12">
            <v>19</v>
          </cell>
          <cell r="I12">
            <v>3</v>
          </cell>
          <cell r="J12">
            <v>19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E14">
            <v>2</v>
          </cell>
          <cell r="F14">
            <v>0</v>
          </cell>
          <cell r="G14">
            <v>0</v>
          </cell>
          <cell r="H14">
            <v>2</v>
          </cell>
          <cell r="I14">
            <v>0</v>
          </cell>
          <cell r="J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DMA</v>
          </cell>
          <cell r="C7" t="str">
            <v>안병욱 선임</v>
          </cell>
          <cell r="D7" t="str">
            <v>안병욱 선임</v>
          </cell>
          <cell r="E7">
            <v>29</v>
          </cell>
          <cell r="F7">
            <v>28</v>
          </cell>
          <cell r="G7">
            <v>0</v>
          </cell>
          <cell r="H7">
            <v>0</v>
          </cell>
          <cell r="I7">
            <v>34</v>
          </cell>
          <cell r="J7">
            <v>0</v>
          </cell>
          <cell r="K7">
            <v>0.44444444444444442</v>
          </cell>
          <cell r="L7">
            <v>0</v>
          </cell>
          <cell r="M7">
            <v>0</v>
          </cell>
          <cell r="N7" t="str">
            <v>-</v>
          </cell>
          <cell r="O7">
            <v>26</v>
          </cell>
          <cell r="P7">
            <v>0</v>
          </cell>
          <cell r="Q7">
            <v>0</v>
          </cell>
          <cell r="R7" t="str">
            <v>-</v>
          </cell>
          <cell r="S7">
            <v>5</v>
          </cell>
          <cell r="T7">
            <v>0</v>
          </cell>
          <cell r="U7">
            <v>0</v>
          </cell>
          <cell r="V7" t="str">
            <v>-</v>
          </cell>
          <cell r="W7">
            <v>13</v>
          </cell>
          <cell r="X7">
            <v>0</v>
          </cell>
          <cell r="Y7">
            <v>0</v>
          </cell>
          <cell r="Z7" t="str">
            <v>-</v>
          </cell>
          <cell r="AA7">
            <v>42201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  <row r="11">
          <cell r="E11">
            <v>5</v>
          </cell>
          <cell r="F11">
            <v>0</v>
          </cell>
          <cell r="G11">
            <v>6</v>
          </cell>
          <cell r="H11">
            <v>2</v>
          </cell>
          <cell r="I11">
            <v>2</v>
          </cell>
          <cell r="J11">
            <v>2</v>
          </cell>
        </row>
        <row r="12">
          <cell r="E12">
            <v>18</v>
          </cell>
          <cell r="F12">
            <v>0</v>
          </cell>
          <cell r="G12">
            <v>22</v>
          </cell>
          <cell r="H12">
            <v>18</v>
          </cell>
          <cell r="I12">
            <v>0</v>
          </cell>
          <cell r="J12">
            <v>5</v>
          </cell>
        </row>
        <row r="13">
          <cell r="E13">
            <v>6</v>
          </cell>
          <cell r="F13">
            <v>0</v>
          </cell>
          <cell r="G13">
            <v>6</v>
          </cell>
          <cell r="H13">
            <v>6</v>
          </cell>
          <cell r="I13">
            <v>3</v>
          </cell>
          <cell r="J13">
            <v>6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Back Bone</v>
          </cell>
          <cell r="C7" t="str">
            <v>최호윤 수석</v>
          </cell>
          <cell r="D7" t="str">
            <v>최호윤 수석</v>
          </cell>
          <cell r="E7">
            <v>4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42152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  <row r="11">
          <cell r="E11">
            <v>2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</sheetData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Analog IP</v>
          </cell>
          <cell r="C7" t="str">
            <v>양창호 선임</v>
          </cell>
          <cell r="D7" t="str">
            <v>양창호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  <row r="11"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</sheetData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SysCtrl: PMU</v>
          </cell>
          <cell r="C7" t="str">
            <v>김정욱 책임</v>
          </cell>
          <cell r="D7" t="str">
            <v>김정욱 책임</v>
          </cell>
          <cell r="E7">
            <v>79</v>
          </cell>
          <cell r="F7">
            <v>79</v>
          </cell>
          <cell r="G7">
            <v>115</v>
          </cell>
          <cell r="H7">
            <v>0</v>
          </cell>
          <cell r="I7">
            <v>115</v>
          </cell>
          <cell r="J7">
            <v>0</v>
          </cell>
          <cell r="K7">
            <v>0.25566343042071199</v>
          </cell>
          <cell r="L7">
            <v>0</v>
          </cell>
          <cell r="M7">
            <v>0</v>
          </cell>
          <cell r="N7" t="str">
            <v>-</v>
          </cell>
          <cell r="O7">
            <v>61</v>
          </cell>
          <cell r="P7">
            <v>0</v>
          </cell>
          <cell r="Q7">
            <v>0</v>
          </cell>
          <cell r="R7" t="str">
            <v>-</v>
          </cell>
          <cell r="S7">
            <v>114</v>
          </cell>
          <cell r="T7">
            <v>0</v>
          </cell>
          <cell r="U7">
            <v>0</v>
          </cell>
          <cell r="V7" t="str">
            <v>-</v>
          </cell>
          <cell r="W7">
            <v>104</v>
          </cell>
          <cell r="X7">
            <v>0</v>
          </cell>
          <cell r="Y7">
            <v>0</v>
          </cell>
          <cell r="Z7" t="str">
            <v>-</v>
          </cell>
          <cell r="AA7">
            <v>42223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  <row r="11">
          <cell r="E11">
            <v>4</v>
          </cell>
          <cell r="F11">
            <v>4</v>
          </cell>
          <cell r="G11">
            <v>4</v>
          </cell>
          <cell r="H11">
            <v>3</v>
          </cell>
          <cell r="I11">
            <v>4</v>
          </cell>
          <cell r="J11">
            <v>3</v>
          </cell>
        </row>
        <row r="12">
          <cell r="E12">
            <v>75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E13">
            <v>0</v>
          </cell>
          <cell r="F13">
            <v>110</v>
          </cell>
          <cell r="G13">
            <v>111</v>
          </cell>
          <cell r="H13">
            <v>58</v>
          </cell>
          <cell r="I13">
            <v>110</v>
          </cell>
          <cell r="J13">
            <v>101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E15">
            <v>0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RPMB</v>
          </cell>
          <cell r="C7" t="str">
            <v>안병욱 선임</v>
          </cell>
          <cell r="D7" t="str">
            <v>안병욱 선임</v>
          </cell>
          <cell r="E7">
            <v>27</v>
          </cell>
          <cell r="F7">
            <v>25</v>
          </cell>
          <cell r="G7">
            <v>29</v>
          </cell>
          <cell r="H7">
            <v>0</v>
          </cell>
          <cell r="I7">
            <v>1</v>
          </cell>
          <cell r="J7">
            <v>0</v>
          </cell>
          <cell r="K7">
            <v>0.43859649122807015</v>
          </cell>
          <cell r="L7">
            <v>0</v>
          </cell>
          <cell r="M7">
            <v>0</v>
          </cell>
          <cell r="N7" t="str">
            <v>-</v>
          </cell>
          <cell r="O7">
            <v>18</v>
          </cell>
          <cell r="P7">
            <v>0</v>
          </cell>
          <cell r="Q7">
            <v>0</v>
          </cell>
          <cell r="R7" t="str">
            <v>-</v>
          </cell>
          <cell r="S7">
            <v>2</v>
          </cell>
          <cell r="T7">
            <v>0</v>
          </cell>
          <cell r="U7">
            <v>0</v>
          </cell>
          <cell r="V7" t="str">
            <v>-</v>
          </cell>
          <cell r="W7">
            <v>18</v>
          </cell>
          <cell r="X7">
            <v>0</v>
          </cell>
          <cell r="Y7">
            <v>0</v>
          </cell>
          <cell r="Z7" t="str">
            <v>-</v>
          </cell>
          <cell r="AA7">
            <v>42164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  <row r="11">
          <cell r="E11">
            <v>4</v>
          </cell>
          <cell r="F11">
            <v>1</v>
          </cell>
          <cell r="G11">
            <v>1</v>
          </cell>
          <cell r="H11">
            <v>1</v>
          </cell>
          <cell r="I11">
            <v>0</v>
          </cell>
          <cell r="J11">
            <v>1</v>
          </cell>
        </row>
        <row r="12">
          <cell r="E12">
            <v>11</v>
          </cell>
          <cell r="F12">
            <v>7</v>
          </cell>
          <cell r="G12">
            <v>0</v>
          </cell>
          <cell r="H12">
            <v>7</v>
          </cell>
          <cell r="I12">
            <v>2</v>
          </cell>
          <cell r="J12">
            <v>7</v>
          </cell>
        </row>
        <row r="13">
          <cell r="E13">
            <v>12</v>
          </cell>
          <cell r="F13">
            <v>19</v>
          </cell>
          <cell r="G13">
            <v>0</v>
          </cell>
          <cell r="H13">
            <v>8</v>
          </cell>
          <cell r="I13">
            <v>0</v>
          </cell>
          <cell r="J13">
            <v>8</v>
          </cell>
        </row>
        <row r="14">
          <cell r="E14">
            <v>0</v>
          </cell>
          <cell r="F14">
            <v>2</v>
          </cell>
          <cell r="G14">
            <v>0</v>
          </cell>
          <cell r="H14">
            <v>2</v>
          </cell>
          <cell r="I14">
            <v>0</v>
          </cell>
          <cell r="J14">
            <v>2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Mail Box</v>
          </cell>
          <cell r="C7" t="str">
            <v>안병욱 선임</v>
          </cell>
          <cell r="D7" t="str">
            <v>안병욱 선임</v>
          </cell>
          <cell r="E7">
            <v>28</v>
          </cell>
          <cell r="F7">
            <v>0</v>
          </cell>
          <cell r="G7">
            <v>1</v>
          </cell>
          <cell r="H7">
            <v>0</v>
          </cell>
          <cell r="I7">
            <v>17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-</v>
          </cell>
          <cell r="O7">
            <v>10</v>
          </cell>
          <cell r="P7">
            <v>0</v>
          </cell>
          <cell r="Q7">
            <v>0</v>
          </cell>
          <cell r="R7" t="str">
            <v>-</v>
          </cell>
          <cell r="S7">
            <v>1</v>
          </cell>
          <cell r="T7">
            <v>0</v>
          </cell>
          <cell r="U7">
            <v>0</v>
          </cell>
          <cell r="V7" t="str">
            <v>-</v>
          </cell>
          <cell r="W7">
            <v>8</v>
          </cell>
          <cell r="X7">
            <v>0</v>
          </cell>
          <cell r="Y7">
            <v>0</v>
          </cell>
          <cell r="Z7" t="str">
            <v>-</v>
          </cell>
          <cell r="AA7">
            <v>42165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  <row r="11">
          <cell r="E11">
            <v>4</v>
          </cell>
          <cell r="F11">
            <v>1</v>
          </cell>
          <cell r="G11">
            <v>1</v>
          </cell>
          <cell r="H11">
            <v>1</v>
          </cell>
          <cell r="I11">
            <v>0</v>
          </cell>
          <cell r="J11">
            <v>1</v>
          </cell>
        </row>
        <row r="12">
          <cell r="E12">
            <v>24</v>
          </cell>
          <cell r="F12">
            <v>0</v>
          </cell>
          <cell r="G12">
            <v>16</v>
          </cell>
          <cell r="H12">
            <v>8</v>
          </cell>
          <cell r="I12">
            <v>1</v>
          </cell>
          <cell r="J12">
            <v>7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Timer</v>
          </cell>
          <cell r="C7" t="str">
            <v>안병욱 선임</v>
          </cell>
          <cell r="D7" t="str">
            <v>안병욱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  <row r="11"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</sheetData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WDT</v>
          </cell>
          <cell r="C7" t="str">
            <v>안병욱 선임</v>
          </cell>
          <cell r="D7" t="str">
            <v>안병욱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  <row r="11"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UART</v>
          </cell>
          <cell r="C7" t="str">
            <v>안병욱 선임</v>
          </cell>
          <cell r="D7" t="str">
            <v>안병욱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  <row r="11"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</sheetData>
      <sheetData sheetId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SysCtrl: Clock</v>
          </cell>
          <cell r="C7" t="str">
            <v>김정욱 책임</v>
          </cell>
          <cell r="D7" t="str">
            <v>김정욱 책임</v>
          </cell>
          <cell r="E7">
            <v>17</v>
          </cell>
          <cell r="F7">
            <v>17</v>
          </cell>
          <cell r="G7">
            <v>17</v>
          </cell>
          <cell r="H7">
            <v>0</v>
          </cell>
          <cell r="I7">
            <v>17</v>
          </cell>
          <cell r="J7">
            <v>0</v>
          </cell>
          <cell r="K7">
            <v>0.33333333333333331</v>
          </cell>
          <cell r="L7">
            <v>0</v>
          </cell>
          <cell r="M7">
            <v>0</v>
          </cell>
          <cell r="N7" t="str">
            <v>-</v>
          </cell>
          <cell r="O7">
            <v>3</v>
          </cell>
          <cell r="P7">
            <v>0</v>
          </cell>
          <cell r="Q7">
            <v>0</v>
          </cell>
          <cell r="R7" t="str">
            <v>-</v>
          </cell>
          <cell r="S7">
            <v>17</v>
          </cell>
          <cell r="T7">
            <v>0</v>
          </cell>
          <cell r="U7">
            <v>0</v>
          </cell>
          <cell r="V7" t="str">
            <v>-</v>
          </cell>
          <cell r="W7">
            <v>12</v>
          </cell>
          <cell r="X7">
            <v>0</v>
          </cell>
          <cell r="Y7">
            <v>0</v>
          </cell>
          <cell r="Z7" t="str">
            <v>-</v>
          </cell>
          <cell r="AA7">
            <v>42223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  <row r="11">
          <cell r="E11">
            <v>4</v>
          </cell>
          <cell r="F11">
            <v>4</v>
          </cell>
          <cell r="G11">
            <v>4</v>
          </cell>
          <cell r="H11">
            <v>3</v>
          </cell>
          <cell r="I11">
            <v>4</v>
          </cell>
          <cell r="J11">
            <v>3</v>
          </cell>
        </row>
        <row r="12">
          <cell r="E12">
            <v>13</v>
          </cell>
          <cell r="F12">
            <v>3</v>
          </cell>
          <cell r="G12">
            <v>3</v>
          </cell>
          <cell r="H12">
            <v>0</v>
          </cell>
          <cell r="I12">
            <v>3</v>
          </cell>
          <cell r="J12">
            <v>0</v>
          </cell>
        </row>
        <row r="13">
          <cell r="E13">
            <v>0</v>
          </cell>
          <cell r="F13">
            <v>10</v>
          </cell>
          <cell r="G13">
            <v>10</v>
          </cell>
          <cell r="H13">
            <v>0</v>
          </cell>
          <cell r="I13">
            <v>10</v>
          </cell>
          <cell r="J13">
            <v>9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</sheetData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SysCtrl: Reset</v>
          </cell>
          <cell r="C7" t="str">
            <v>김정욱 책임</v>
          </cell>
          <cell r="D7" t="str">
            <v>김정욱 책임</v>
          </cell>
          <cell r="E7">
            <v>15</v>
          </cell>
          <cell r="F7">
            <v>15</v>
          </cell>
          <cell r="G7">
            <v>16</v>
          </cell>
          <cell r="H7">
            <v>0</v>
          </cell>
          <cell r="I7">
            <v>17</v>
          </cell>
          <cell r="J7">
            <v>0</v>
          </cell>
          <cell r="K7">
            <v>0.3125</v>
          </cell>
          <cell r="L7">
            <v>0</v>
          </cell>
          <cell r="M7">
            <v>0</v>
          </cell>
          <cell r="N7" t="str">
            <v>-</v>
          </cell>
          <cell r="O7">
            <v>14</v>
          </cell>
          <cell r="P7">
            <v>0</v>
          </cell>
          <cell r="Q7">
            <v>0</v>
          </cell>
          <cell r="R7" t="str">
            <v>-</v>
          </cell>
          <cell r="S7">
            <v>18</v>
          </cell>
          <cell r="T7">
            <v>0</v>
          </cell>
          <cell r="U7">
            <v>0</v>
          </cell>
          <cell r="V7" t="str">
            <v>-</v>
          </cell>
          <cell r="W7">
            <v>17</v>
          </cell>
          <cell r="X7">
            <v>0</v>
          </cell>
          <cell r="Y7">
            <v>0</v>
          </cell>
          <cell r="Z7" t="str">
            <v>-</v>
          </cell>
          <cell r="AA7">
            <v>42223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  <row r="11">
          <cell r="E11">
            <v>4</v>
          </cell>
          <cell r="F11">
            <v>4</v>
          </cell>
          <cell r="G11">
            <v>4</v>
          </cell>
          <cell r="H11">
            <v>3</v>
          </cell>
          <cell r="I11">
            <v>4</v>
          </cell>
          <cell r="J11">
            <v>3</v>
          </cell>
        </row>
        <row r="12">
          <cell r="E12">
            <v>11</v>
          </cell>
          <cell r="F12">
            <v>8</v>
          </cell>
          <cell r="G12">
            <v>8</v>
          </cell>
          <cell r="H12">
            <v>8</v>
          </cell>
          <cell r="I12">
            <v>8</v>
          </cell>
          <cell r="J12">
            <v>8</v>
          </cell>
        </row>
        <row r="13">
          <cell r="E13">
            <v>0</v>
          </cell>
          <cell r="F13">
            <v>4</v>
          </cell>
          <cell r="G13">
            <v>5</v>
          </cell>
          <cell r="H13">
            <v>3</v>
          </cell>
          <cell r="I13">
            <v>6</v>
          </cell>
          <cell r="J13">
            <v>6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</sheetData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eFuse Controller</v>
          </cell>
          <cell r="C7" t="str">
            <v>안병욱 선임</v>
          </cell>
          <cell r="D7" t="str">
            <v>안병욱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  <row r="11"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</sheetData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M-PHY</v>
          </cell>
          <cell r="C7" t="str">
            <v>이현주 선임</v>
          </cell>
          <cell r="D7" t="str">
            <v>이현주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  <row r="11"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</sheetData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Nand PHY</v>
          </cell>
          <cell r="C7" t="str">
            <v>이종용 선임</v>
          </cell>
          <cell r="D7" t="str">
            <v>이종용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  <row r="11"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</sheetData>
      <sheetData sheetId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Nand IO</v>
          </cell>
          <cell r="C7" t="str">
            <v>이종용 선임</v>
          </cell>
          <cell r="D7" t="str">
            <v>이종용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  <row r="11"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</sheetData>
      <sheetData sheetId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I/O Mux</v>
          </cell>
          <cell r="C7" t="str">
            <v>양창호 선임</v>
          </cell>
          <cell r="D7" t="str">
            <v>양창호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42164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  <row r="11"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</sheetData>
      <sheetData sheetId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HW Bypass</v>
          </cell>
          <cell r="C7" t="str">
            <v>양창호 선임</v>
          </cell>
          <cell r="D7" t="str">
            <v>양창호 선임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  <row r="11"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</sheetData>
      <sheetData sheetId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"/>
    </sheetNames>
    <sheetDataSet>
      <sheetData sheetId="0">
        <row r="7">
          <cell r="B7" t="str">
            <v>End to End</v>
          </cell>
          <cell r="C7" t="str">
            <v>ALL</v>
          </cell>
          <cell r="D7" t="str">
            <v>조성엽 책임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-</v>
          </cell>
          <cell r="L7">
            <v>0</v>
          </cell>
          <cell r="M7">
            <v>0</v>
          </cell>
          <cell r="N7" t="str">
            <v>-</v>
          </cell>
          <cell r="O7">
            <v>0</v>
          </cell>
          <cell r="P7">
            <v>0</v>
          </cell>
          <cell r="Q7" t="str">
            <v>-</v>
          </cell>
          <cell r="R7" t="str">
            <v>-</v>
          </cell>
          <cell r="S7">
            <v>0</v>
          </cell>
          <cell r="T7">
            <v>0</v>
          </cell>
          <cell r="U7" t="str">
            <v>-</v>
          </cell>
          <cell r="V7" t="str">
            <v>-</v>
          </cell>
          <cell r="W7">
            <v>0</v>
          </cell>
          <cell r="X7">
            <v>0</v>
          </cell>
          <cell r="Y7" t="str">
            <v>-</v>
          </cell>
          <cell r="Z7" t="str">
            <v>-</v>
          </cell>
          <cell r="AA7">
            <v>42138</v>
          </cell>
          <cell r="AB7" t="str">
            <v>?</v>
          </cell>
          <cell r="AC7" t="str">
            <v>?</v>
          </cell>
          <cell r="AD7" t="str">
            <v>?</v>
          </cell>
          <cell r="AE7" t="str">
            <v xml:space="preserve">RTL:
POST:
FPGA: </v>
          </cell>
        </row>
        <row r="11"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eckList_Rev_A"/>
      <sheetName val="CheckList_Rev_B"/>
      <sheetName val="IssueList"/>
    </sheetNames>
    <sheetDataSet>
      <sheetData sheetId="0">
        <row r="7">
          <cell r="B7" t="str">
            <v>Post-Silicon Validation</v>
          </cell>
          <cell r="C7" t="str">
            <v>ALL</v>
          </cell>
          <cell r="D7" t="str">
            <v>ALL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3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image" Target="../media/image2.emf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5.bin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openxmlformats.org/officeDocument/2006/relationships/image" Target="../media/image2.emf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6.bin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4" Type="http://schemas.openxmlformats.org/officeDocument/2006/relationships/image" Target="../media/image2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A44"/>
  <sheetViews>
    <sheetView showGridLines="0" tabSelected="1" zoomScale="90" zoomScaleNormal="90" workbookViewId="0">
      <selection activeCell="A35" sqref="A35"/>
    </sheetView>
  </sheetViews>
  <sheetFormatPr defaultRowHeight="12" outlineLevelCol="1" x14ac:dyDescent="0.3"/>
  <cols>
    <col min="1" max="1" width="1.25" style="34" customWidth="1"/>
    <col min="2" max="2" width="4" style="3" bestFit="1" customWidth="1"/>
    <col min="3" max="3" width="18.75" style="3" bestFit="1" customWidth="1"/>
    <col min="4" max="5" width="9.875" style="3" customWidth="1" outlineLevel="1"/>
    <col min="6" max="6" width="0.5" style="34" customWidth="1"/>
    <col min="7" max="11" width="5.875" style="3" customWidth="1"/>
    <col min="12" max="12" width="6.75" style="3" customWidth="1"/>
    <col min="13" max="13" width="8.25" style="3" customWidth="1"/>
    <col min="14" max="14" width="8.125" style="3" customWidth="1"/>
    <col min="15" max="15" width="7.25" style="3" customWidth="1"/>
    <col min="16" max="16" width="5.25" style="3" customWidth="1"/>
    <col min="17" max="17" width="0.5" style="34" customWidth="1"/>
    <col min="18" max="18" width="5.875" style="3" customWidth="1"/>
    <col min="19" max="19" width="7.375" style="3" customWidth="1"/>
    <col min="20" max="20" width="8.25" style="3" customWidth="1"/>
    <col min="21" max="21" width="5.25" style="3" customWidth="1"/>
    <col min="22" max="22" width="0.5" style="34" customWidth="1"/>
    <col min="23" max="23" width="5.75" style="3" customWidth="1" outlineLevel="1"/>
    <col min="24" max="24" width="6.375" style="3" customWidth="1" outlineLevel="1"/>
    <col min="25" max="25" width="8.125" style="3" customWidth="1" outlineLevel="1"/>
    <col min="26" max="26" width="5.25" style="3" customWidth="1" outlineLevel="1"/>
    <col min="27" max="27" width="0.5" style="34" customWidth="1" outlineLevel="1"/>
    <col min="28" max="28" width="5.75" style="3" customWidth="1" outlineLevel="1"/>
    <col min="29" max="29" width="6.375" style="3" customWidth="1" outlineLevel="1"/>
    <col min="30" max="30" width="8.125" style="3" customWidth="1" outlineLevel="1"/>
    <col min="31" max="31" width="5.25" style="3" customWidth="1" outlineLevel="1"/>
    <col min="32" max="32" width="0.5" style="35" customWidth="1" outlineLevel="1"/>
    <col min="33" max="33" width="8" style="3" bestFit="1" customWidth="1"/>
    <col min="34" max="36" width="5.625" style="3" customWidth="1"/>
    <col min="37" max="37" width="37.375" style="3" customWidth="1"/>
    <col min="38" max="131" width="9" style="34"/>
    <col min="132" max="16384" width="9" style="3"/>
  </cols>
  <sheetData>
    <row r="1" spans="2:37" ht="5.25" customHeight="1" x14ac:dyDescent="0.3"/>
    <row r="2" spans="2:37" ht="26.25" x14ac:dyDescent="0.3">
      <c r="B2" s="154" t="s">
        <v>34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77"/>
      <c r="AI2" s="149">
        <v>42221</v>
      </c>
      <c r="AJ2" s="149"/>
      <c r="AK2" s="149"/>
    </row>
    <row r="3" spans="2:37" x14ac:dyDescent="0.3">
      <c r="B3" s="153" t="s">
        <v>1</v>
      </c>
      <c r="C3" s="153" t="s">
        <v>2</v>
      </c>
      <c r="D3" s="132" t="s">
        <v>9</v>
      </c>
      <c r="E3" s="157" t="s">
        <v>10</v>
      </c>
      <c r="F3" s="40"/>
      <c r="G3" s="148" t="s">
        <v>15</v>
      </c>
      <c r="H3" s="148"/>
      <c r="I3" s="148"/>
      <c r="J3" s="148"/>
      <c r="K3" s="148"/>
      <c r="L3" s="153"/>
      <c r="M3" s="153"/>
      <c r="N3" s="153"/>
      <c r="O3" s="153"/>
      <c r="P3" s="147"/>
      <c r="Q3" s="39"/>
      <c r="R3" s="148" t="s">
        <v>8</v>
      </c>
      <c r="S3" s="153"/>
      <c r="T3" s="153"/>
      <c r="U3" s="147"/>
      <c r="V3" s="39"/>
      <c r="W3" s="148" t="s">
        <v>16</v>
      </c>
      <c r="X3" s="153"/>
      <c r="Y3" s="153"/>
      <c r="Z3" s="147"/>
      <c r="AA3" s="79"/>
      <c r="AB3" s="150" t="s">
        <v>17</v>
      </c>
      <c r="AC3" s="151"/>
      <c r="AD3" s="151"/>
      <c r="AE3" s="152"/>
      <c r="AF3" s="81"/>
      <c r="AG3" s="159" t="s">
        <v>7</v>
      </c>
      <c r="AH3" s="159"/>
      <c r="AI3" s="159"/>
      <c r="AJ3" s="148"/>
      <c r="AK3" s="153" t="s">
        <v>5</v>
      </c>
    </row>
    <row r="4" spans="2:37" x14ac:dyDescent="0.3">
      <c r="B4" s="137"/>
      <c r="C4" s="137"/>
      <c r="D4" s="133"/>
      <c r="E4" s="158"/>
      <c r="F4" s="40"/>
      <c r="G4" s="147" t="s">
        <v>38</v>
      </c>
      <c r="H4" s="148"/>
      <c r="I4" s="147" t="s">
        <v>39</v>
      </c>
      <c r="J4" s="148"/>
      <c r="K4" s="147" t="s">
        <v>40</v>
      </c>
      <c r="L4" s="148"/>
      <c r="M4" s="85" t="s">
        <v>35</v>
      </c>
      <c r="N4" s="133" t="s">
        <v>19</v>
      </c>
      <c r="O4" s="133" t="s">
        <v>20</v>
      </c>
      <c r="P4" s="133" t="s">
        <v>6</v>
      </c>
      <c r="Q4" s="39"/>
      <c r="R4" s="137" t="s">
        <v>0</v>
      </c>
      <c r="S4" s="137" t="s">
        <v>4</v>
      </c>
      <c r="T4" s="137" t="s">
        <v>18</v>
      </c>
      <c r="U4" s="133" t="s">
        <v>6</v>
      </c>
      <c r="V4" s="39"/>
      <c r="W4" s="137" t="s">
        <v>0</v>
      </c>
      <c r="X4" s="137" t="s">
        <v>4</v>
      </c>
      <c r="Y4" s="137" t="s">
        <v>18</v>
      </c>
      <c r="Z4" s="133" t="s">
        <v>6</v>
      </c>
      <c r="AA4" s="79"/>
      <c r="AB4" s="135" t="s">
        <v>0</v>
      </c>
      <c r="AC4" s="137" t="s">
        <v>4</v>
      </c>
      <c r="AD4" s="137" t="s">
        <v>18</v>
      </c>
      <c r="AE4" s="139" t="s">
        <v>6</v>
      </c>
      <c r="AF4" s="81"/>
      <c r="AG4" s="132" t="s">
        <v>11</v>
      </c>
      <c r="AH4" s="132" t="s">
        <v>3</v>
      </c>
      <c r="AI4" s="132" t="s">
        <v>8</v>
      </c>
      <c r="AJ4" s="132" t="s">
        <v>17</v>
      </c>
      <c r="AK4" s="137"/>
    </row>
    <row r="5" spans="2:37" x14ac:dyDescent="0.3">
      <c r="B5" s="137"/>
      <c r="C5" s="137"/>
      <c r="D5" s="133"/>
      <c r="E5" s="158"/>
      <c r="F5" s="40"/>
      <c r="G5" s="49" t="s">
        <v>0</v>
      </c>
      <c r="H5" s="85" t="s">
        <v>4</v>
      </c>
      <c r="I5" s="49" t="s">
        <v>0</v>
      </c>
      <c r="J5" s="85" t="s">
        <v>4</v>
      </c>
      <c r="K5" s="49" t="s">
        <v>0</v>
      </c>
      <c r="L5" s="85" t="s">
        <v>4</v>
      </c>
      <c r="M5" s="4" t="s">
        <v>18</v>
      </c>
      <c r="N5" s="134"/>
      <c r="O5" s="134"/>
      <c r="P5" s="134"/>
      <c r="Q5" s="40"/>
      <c r="R5" s="138"/>
      <c r="S5" s="138"/>
      <c r="T5" s="138"/>
      <c r="U5" s="134"/>
      <c r="V5" s="40"/>
      <c r="W5" s="138"/>
      <c r="X5" s="138"/>
      <c r="Y5" s="138"/>
      <c r="Z5" s="134"/>
      <c r="AA5" s="80"/>
      <c r="AB5" s="136"/>
      <c r="AC5" s="138"/>
      <c r="AD5" s="138"/>
      <c r="AE5" s="140"/>
      <c r="AF5" s="82"/>
      <c r="AG5" s="132"/>
      <c r="AH5" s="132"/>
      <c r="AI5" s="132"/>
      <c r="AJ5" s="132"/>
      <c r="AK5" s="137"/>
    </row>
    <row r="6" spans="2:37" s="34" customFormat="1" x14ac:dyDescent="0.3">
      <c r="B6" s="15">
        <v>1</v>
      </c>
      <c r="C6" s="15" t="str">
        <f>[1]Summary!$B$7</f>
        <v>Cortex-M3</v>
      </c>
      <c r="D6" s="15" t="str">
        <f>[1]Summary!$C$7</f>
        <v>최호윤 수석</v>
      </c>
      <c r="E6" s="36" t="str">
        <f>[1]Summary!$D$7</f>
        <v>조성엽 책임</v>
      </c>
      <c r="F6" s="41"/>
      <c r="G6" s="50">
        <f>[1]Summary!$E$7</f>
        <v>18</v>
      </c>
      <c r="H6" s="50">
        <f>[1]Summary!$F$7</f>
        <v>16</v>
      </c>
      <c r="I6" s="50">
        <f>[1]Summary!$G$7</f>
        <v>7</v>
      </c>
      <c r="J6" s="50">
        <f>[1]Summary!$H$7</f>
        <v>3</v>
      </c>
      <c r="K6" s="50">
        <f>[1]Summary!$I$7</f>
        <v>2</v>
      </c>
      <c r="L6" s="16">
        <f>[1]Summary!$J$7</f>
        <v>0</v>
      </c>
      <c r="M6" s="17">
        <f>[1]Summary!$K$7</f>
        <v>0.70370370370370372</v>
      </c>
      <c r="N6" s="17">
        <f>[1]Summary!$L$7</f>
        <v>0</v>
      </c>
      <c r="O6" s="17">
        <f>[1]Summary!$M$7</f>
        <v>0</v>
      </c>
      <c r="P6" s="112" t="str">
        <f>[1]Summary!$N$7</f>
        <v>-</v>
      </c>
      <c r="Q6" s="41"/>
      <c r="R6" s="50">
        <f>[1]Summary!$O$7</f>
        <v>18</v>
      </c>
      <c r="S6" s="16">
        <f>[1]Summary!$P$7</f>
        <v>10.5</v>
      </c>
      <c r="T6" s="17">
        <f>[1]Summary!$Q$7</f>
        <v>0.58333333333333337</v>
      </c>
      <c r="U6" s="112" t="str">
        <f>[1]Summary!$R$7</f>
        <v>-</v>
      </c>
      <c r="V6" s="41"/>
      <c r="W6" s="50">
        <f>[1]Summary!$S$7</f>
        <v>4</v>
      </c>
      <c r="X6" s="16">
        <f>[1]Summary!$T$7</f>
        <v>0</v>
      </c>
      <c r="Y6" s="17">
        <f>[1]Summary!$U$7</f>
        <v>0</v>
      </c>
      <c r="Z6" s="112" t="str">
        <f>[1]Summary!$V$7</f>
        <v>-</v>
      </c>
      <c r="AA6" s="42"/>
      <c r="AB6" s="89">
        <f>[1]Summary!$W$7</f>
        <v>15</v>
      </c>
      <c r="AC6" s="16">
        <f>[1]Summary!$X$7</f>
        <v>0</v>
      </c>
      <c r="AD6" s="17">
        <f>[1]Summary!$Y$7</f>
        <v>0</v>
      </c>
      <c r="AE6" s="113" t="str">
        <f>[1]Summary!$Z$7</f>
        <v>-</v>
      </c>
      <c r="AF6" s="69"/>
      <c r="AG6" s="38">
        <f>[1]Summary!$AA$7</f>
        <v>42221</v>
      </c>
      <c r="AH6" s="15" t="str">
        <f>[1]Summary!$AB$7</f>
        <v>?</v>
      </c>
      <c r="AI6" s="15" t="str">
        <f>[1]Summary!$AC$7</f>
        <v>?</v>
      </c>
      <c r="AJ6" s="15" t="str">
        <f>[1]Summary!$AD$7</f>
        <v>?</v>
      </c>
      <c r="AK6" s="18" t="str">
        <f>[1]Summary!$AE$7</f>
        <v xml:space="preserve">RTL:
POST:
FPGA: </v>
      </c>
    </row>
    <row r="7" spans="2:37" s="34" customFormat="1" x14ac:dyDescent="0.3">
      <c r="B7" s="120">
        <v>2</v>
      </c>
      <c r="C7" s="120" t="str">
        <f>[2]Summary!$B$7</f>
        <v>HCT</v>
      </c>
      <c r="D7" s="120" t="str">
        <f>[2]Summary!$C$7</f>
        <v>이원규 선임</v>
      </c>
      <c r="E7" s="121" t="str">
        <f>[2]Summary!$D$7</f>
        <v>박재우 책임</v>
      </c>
      <c r="F7" s="41"/>
      <c r="G7" s="122">
        <f>[2]Summary!$E$7</f>
        <v>281</v>
      </c>
      <c r="H7" s="122">
        <f>[2]Summary!$F$7</f>
        <v>61</v>
      </c>
      <c r="I7" s="122">
        <f>[2]Summary!$G$7</f>
        <v>61</v>
      </c>
      <c r="J7" s="122">
        <f>[2]Summary!$H$7</f>
        <v>1</v>
      </c>
      <c r="K7" s="122">
        <f>[2]Summary!$I$7</f>
        <v>243</v>
      </c>
      <c r="L7" s="123">
        <f>[2]Summary!$J$7</f>
        <v>0</v>
      </c>
      <c r="M7" s="124">
        <f>[2]Summary!$K$7</f>
        <v>0.10598290598290598</v>
      </c>
      <c r="N7" s="124">
        <f>[2]Summary!$L$7</f>
        <v>0</v>
      </c>
      <c r="O7" s="124">
        <f>[2]Summary!$M$7</f>
        <v>0</v>
      </c>
      <c r="P7" s="125" t="str">
        <f>[2]Summary!$N$7</f>
        <v>-</v>
      </c>
      <c r="Q7" s="41"/>
      <c r="R7" s="122">
        <f>[2]Summary!$O$7</f>
        <v>234</v>
      </c>
      <c r="S7" s="123">
        <f>[2]Summary!$P$7</f>
        <v>0</v>
      </c>
      <c r="T7" s="124">
        <f>[2]Summary!$Q$7</f>
        <v>0</v>
      </c>
      <c r="U7" s="125" t="str">
        <f>[2]Summary!$R$7</f>
        <v>-</v>
      </c>
      <c r="V7" s="41"/>
      <c r="W7" s="122">
        <f>[2]Summary!$S$7</f>
        <v>4</v>
      </c>
      <c r="X7" s="123">
        <f>[2]Summary!$T$7</f>
        <v>0</v>
      </c>
      <c r="Y7" s="124">
        <f>[2]Summary!$U$7</f>
        <v>0</v>
      </c>
      <c r="Z7" s="125" t="str">
        <f>[2]Summary!$V$7</f>
        <v>-</v>
      </c>
      <c r="AA7" s="42"/>
      <c r="AB7" s="126">
        <f>[2]Summary!$W$7</f>
        <v>232</v>
      </c>
      <c r="AC7" s="123">
        <f>[2]Summary!$X$7</f>
        <v>0</v>
      </c>
      <c r="AD7" s="124">
        <f>[2]Summary!$Y$7</f>
        <v>0</v>
      </c>
      <c r="AE7" s="127" t="str">
        <f>[2]Summary!$Z$7</f>
        <v>-</v>
      </c>
      <c r="AF7" s="69"/>
      <c r="AG7" s="128">
        <f>[2]Summary!$AA$7</f>
        <v>42222</v>
      </c>
      <c r="AH7" s="120" t="str">
        <f>[2]Summary!$AB$7</f>
        <v>?</v>
      </c>
      <c r="AI7" s="120" t="str">
        <f>[2]Summary!$AC$7</f>
        <v>?</v>
      </c>
      <c r="AJ7" s="120" t="str">
        <f>[2]Summary!$AD$7</f>
        <v>?</v>
      </c>
      <c r="AK7" s="129" t="str">
        <f>[2]Summary!$AE$7</f>
        <v xml:space="preserve">RTL:
POST:
FPGA: </v>
      </c>
    </row>
    <row r="8" spans="2:37" s="34" customFormat="1" x14ac:dyDescent="0.3">
      <c r="B8" s="15">
        <v>3</v>
      </c>
      <c r="C8" s="15" t="str">
        <f>[3]Summary!$B$7</f>
        <v>FCT</v>
      </c>
      <c r="D8" s="15" t="str">
        <f>[3]Summary!$C$7</f>
        <v>천동엽 책임</v>
      </c>
      <c r="E8" s="36" t="str">
        <f>[3]Summary!$D$7</f>
        <v>조성엽 책임</v>
      </c>
      <c r="F8" s="41"/>
      <c r="G8" s="50">
        <f>[3]Summary!$E$7</f>
        <v>0</v>
      </c>
      <c r="H8" s="50">
        <f>[3]Summary!$F$7</f>
        <v>0</v>
      </c>
      <c r="I8" s="50">
        <f>[3]Summary!$G$7</f>
        <v>0</v>
      </c>
      <c r="J8" s="50">
        <f>[3]Summary!$H$7</f>
        <v>0</v>
      </c>
      <c r="K8" s="50">
        <f>[3]Summary!$I$7</f>
        <v>0</v>
      </c>
      <c r="L8" s="16">
        <f>[3]Summary!$J$7</f>
        <v>0</v>
      </c>
      <c r="M8" s="17" t="str">
        <f>[3]Summary!$K$7</f>
        <v>-</v>
      </c>
      <c r="N8" s="17">
        <f>[3]Summary!$L$7</f>
        <v>0</v>
      </c>
      <c r="O8" s="17">
        <f>[3]Summary!$M$7</f>
        <v>0</v>
      </c>
      <c r="P8" s="112" t="str">
        <f>[3]Summary!$N$7</f>
        <v>-</v>
      </c>
      <c r="Q8" s="41"/>
      <c r="R8" s="50">
        <f>[3]Summary!$O$7</f>
        <v>0</v>
      </c>
      <c r="S8" s="16">
        <f>[3]Summary!$P$7</f>
        <v>0</v>
      </c>
      <c r="T8" s="17" t="str">
        <f>[3]Summary!$Q$7</f>
        <v>-</v>
      </c>
      <c r="U8" s="112" t="str">
        <f>[3]Summary!$R$7</f>
        <v>-</v>
      </c>
      <c r="V8" s="41"/>
      <c r="W8" s="50">
        <f>[3]Summary!$S$7</f>
        <v>0</v>
      </c>
      <c r="X8" s="16">
        <f>[3]Summary!$T$7</f>
        <v>0</v>
      </c>
      <c r="Y8" s="17" t="str">
        <f>[3]Summary!$U$7</f>
        <v>-</v>
      </c>
      <c r="Z8" s="112" t="str">
        <f>[3]Summary!$V$7</f>
        <v>-</v>
      </c>
      <c r="AA8" s="42"/>
      <c r="AB8" s="89">
        <f>[3]Summary!$W$7</f>
        <v>0</v>
      </c>
      <c r="AC8" s="16">
        <f>[3]Summary!$X$7</f>
        <v>0</v>
      </c>
      <c r="AD8" s="17" t="str">
        <f>[3]Summary!$Y$7</f>
        <v>-</v>
      </c>
      <c r="AE8" s="113" t="str">
        <f>[3]Summary!$Z$7</f>
        <v>-</v>
      </c>
      <c r="AF8" s="69"/>
      <c r="AG8" s="38">
        <f>[3]Summary!$AA$7</f>
        <v>42138</v>
      </c>
      <c r="AH8" s="15" t="str">
        <f>[3]Summary!$AB$7</f>
        <v>?</v>
      </c>
      <c r="AI8" s="15" t="str">
        <f>[3]Summary!$AC$7</f>
        <v>?</v>
      </c>
      <c r="AJ8" s="15" t="str">
        <f>[3]Summary!$AD$7</f>
        <v>?</v>
      </c>
      <c r="AK8" s="18" t="str">
        <f>[3]Summary!$AE$7</f>
        <v xml:space="preserve">RTL:
POST:
FPGA: </v>
      </c>
    </row>
    <row r="9" spans="2:37" s="34" customFormat="1" x14ac:dyDescent="0.3">
      <c r="B9" s="120">
        <v>4</v>
      </c>
      <c r="C9" s="120" t="str">
        <f>[4]Summary!$B$7</f>
        <v>Buffer Manager</v>
      </c>
      <c r="D9" s="120" t="str">
        <f>[4]Summary!$C$7</f>
        <v>지대근 책임</v>
      </c>
      <c r="E9" s="121" t="str">
        <f>[4]Summary!$D$7</f>
        <v>조성엽 책임</v>
      </c>
      <c r="F9" s="41"/>
      <c r="G9" s="122">
        <f>[4]Summary!$E$7</f>
        <v>60</v>
      </c>
      <c r="H9" s="122">
        <f>[4]Summary!$F$7</f>
        <v>5</v>
      </c>
      <c r="I9" s="122">
        <f>[4]Summary!$G$7</f>
        <v>26</v>
      </c>
      <c r="J9" s="122">
        <f>[4]Summary!$H$7</f>
        <v>0</v>
      </c>
      <c r="K9" s="122">
        <f>[4]Summary!$I$7</f>
        <v>27</v>
      </c>
      <c r="L9" s="123">
        <f>[4]Summary!$J$7</f>
        <v>0</v>
      </c>
      <c r="M9" s="124">
        <f>[4]Summary!$K$7</f>
        <v>4.4247787610619468E-2</v>
      </c>
      <c r="N9" s="124">
        <f>[4]Summary!$L$7</f>
        <v>0</v>
      </c>
      <c r="O9" s="124">
        <f>[4]Summary!$M$7</f>
        <v>0</v>
      </c>
      <c r="P9" s="125" t="str">
        <f>[4]Summary!$N$7</f>
        <v>-</v>
      </c>
      <c r="Q9" s="41"/>
      <c r="R9" s="122">
        <f>[4]Summary!$O$7</f>
        <v>23</v>
      </c>
      <c r="S9" s="123">
        <f>[4]Summary!$P$7</f>
        <v>0</v>
      </c>
      <c r="T9" s="124">
        <f>[4]Summary!$Q$7</f>
        <v>0</v>
      </c>
      <c r="U9" s="125" t="str">
        <f>[4]Summary!$R$7</f>
        <v>-</v>
      </c>
      <c r="V9" s="41"/>
      <c r="W9" s="122">
        <f>[4]Summary!$S$7</f>
        <v>22</v>
      </c>
      <c r="X9" s="123">
        <f>[4]Summary!$T$7</f>
        <v>0</v>
      </c>
      <c r="Y9" s="124">
        <f>[4]Summary!$U$7</f>
        <v>0</v>
      </c>
      <c r="Z9" s="125" t="str">
        <f>[4]Summary!$V$7</f>
        <v>-</v>
      </c>
      <c r="AA9" s="42"/>
      <c r="AB9" s="126">
        <f>[4]Summary!$W$7</f>
        <v>23</v>
      </c>
      <c r="AC9" s="123">
        <f>[4]Summary!$X$7</f>
        <v>0</v>
      </c>
      <c r="AD9" s="124">
        <f>[4]Summary!$Y$7</f>
        <v>0</v>
      </c>
      <c r="AE9" s="127" t="str">
        <f>[4]Summary!$Z$7</f>
        <v>-</v>
      </c>
      <c r="AF9" s="69"/>
      <c r="AG9" s="128">
        <f>[4]Summary!$AA$7</f>
        <v>42195</v>
      </c>
      <c r="AH9" s="120" t="str">
        <f>[4]Summary!$AB$7</f>
        <v>?</v>
      </c>
      <c r="AI9" s="120" t="str">
        <f>[4]Summary!$AC$7</f>
        <v>?</v>
      </c>
      <c r="AJ9" s="120" t="str">
        <f>[4]Summary!$AD$7</f>
        <v>?</v>
      </c>
      <c r="AK9" s="129" t="str">
        <f>[4]Summary!$AE$7</f>
        <v xml:space="preserve">RTL:
POST:
FPGA: </v>
      </c>
    </row>
    <row r="10" spans="2:37" s="34" customFormat="1" x14ac:dyDescent="0.3">
      <c r="B10" s="15">
        <v>5</v>
      </c>
      <c r="C10" s="15" t="str">
        <f>[5]Summary!$B$7</f>
        <v>Search Engine</v>
      </c>
      <c r="D10" s="15" t="str">
        <f>[5]Summary!$C$7</f>
        <v>김현욱 선임</v>
      </c>
      <c r="E10" s="36" t="str">
        <f>[5]Summary!$D$7</f>
        <v>김현욱 선임</v>
      </c>
      <c r="F10" s="41"/>
      <c r="G10" s="50">
        <f>[5]Summary!$E$7</f>
        <v>0</v>
      </c>
      <c r="H10" s="50">
        <f>[5]Summary!$F$7</f>
        <v>0</v>
      </c>
      <c r="I10" s="50">
        <f>[5]Summary!$G$7</f>
        <v>0</v>
      </c>
      <c r="J10" s="50">
        <f>[5]Summary!$H$7</f>
        <v>0</v>
      </c>
      <c r="K10" s="50">
        <f>[5]Summary!$I$7</f>
        <v>0</v>
      </c>
      <c r="L10" s="16">
        <f>[5]Summary!$J$7</f>
        <v>0</v>
      </c>
      <c r="M10" s="17" t="str">
        <f>[5]Summary!$K$7</f>
        <v>-</v>
      </c>
      <c r="N10" s="17">
        <f>[5]Summary!$L$7</f>
        <v>0</v>
      </c>
      <c r="O10" s="17">
        <f>[5]Summary!$M$7</f>
        <v>0</v>
      </c>
      <c r="P10" s="112" t="str">
        <f>[5]Summary!$N$7</f>
        <v>-</v>
      </c>
      <c r="Q10" s="41"/>
      <c r="R10" s="50">
        <f>[5]Summary!$O$7</f>
        <v>0</v>
      </c>
      <c r="S10" s="16">
        <f>[5]Summary!$P$7</f>
        <v>0</v>
      </c>
      <c r="T10" s="17" t="str">
        <f>[5]Summary!$Q$7</f>
        <v>-</v>
      </c>
      <c r="U10" s="112" t="str">
        <f>[5]Summary!$R$7</f>
        <v>-</v>
      </c>
      <c r="V10" s="41"/>
      <c r="W10" s="50">
        <f>[5]Summary!$S$7</f>
        <v>0</v>
      </c>
      <c r="X10" s="16">
        <f>[5]Summary!$T$7</f>
        <v>0</v>
      </c>
      <c r="Y10" s="17" t="str">
        <f>[5]Summary!$U$7</f>
        <v>-</v>
      </c>
      <c r="Z10" s="112" t="str">
        <f>[5]Summary!$V$7</f>
        <v>-</v>
      </c>
      <c r="AA10" s="42"/>
      <c r="AB10" s="89">
        <f>[5]Summary!$W$7</f>
        <v>0</v>
      </c>
      <c r="AC10" s="16">
        <f>[5]Summary!$X$7</f>
        <v>0</v>
      </c>
      <c r="AD10" s="17" t="str">
        <f>[5]Summary!$Y$7</f>
        <v>-</v>
      </c>
      <c r="AE10" s="113" t="str">
        <f>[5]Summary!$Z$7</f>
        <v>-</v>
      </c>
      <c r="AF10" s="69"/>
      <c r="AG10" s="38">
        <f>[5]Summary!$AA$7</f>
        <v>42138</v>
      </c>
      <c r="AH10" s="15" t="str">
        <f>[5]Summary!$AB$7</f>
        <v>?</v>
      </c>
      <c r="AI10" s="15" t="str">
        <f>[5]Summary!$AC$7</f>
        <v>?</v>
      </c>
      <c r="AJ10" s="15" t="str">
        <f>[5]Summary!$AD$7</f>
        <v>?</v>
      </c>
      <c r="AK10" s="18" t="str">
        <f>[5]Summary!$AE$7</f>
        <v xml:space="preserve">RTL:
POST:
FPGA: </v>
      </c>
    </row>
    <row r="11" spans="2:37" s="34" customFormat="1" x14ac:dyDescent="0.3">
      <c r="B11" s="120">
        <v>6</v>
      </c>
      <c r="C11" s="120" t="str">
        <f>[6]Summary!$B$7</f>
        <v>MTSE</v>
      </c>
      <c r="D11" s="120" t="str">
        <f>[6]Summary!$C$7</f>
        <v>김현욱 선임</v>
      </c>
      <c r="E11" s="121" t="str">
        <f>[6]Summary!$D$7</f>
        <v>김현욱 선임</v>
      </c>
      <c r="F11" s="41"/>
      <c r="G11" s="122">
        <f>[6]Summary!$E$7</f>
        <v>0</v>
      </c>
      <c r="H11" s="122">
        <f>[6]Summary!$F$7</f>
        <v>0</v>
      </c>
      <c r="I11" s="122">
        <f>[6]Summary!$G$7</f>
        <v>0</v>
      </c>
      <c r="J11" s="122">
        <f>[6]Summary!$H$7</f>
        <v>0</v>
      </c>
      <c r="K11" s="122">
        <f>[6]Summary!$I$7</f>
        <v>0</v>
      </c>
      <c r="L11" s="123">
        <f>[6]Summary!$J$7</f>
        <v>0</v>
      </c>
      <c r="M11" s="124" t="str">
        <f>[6]Summary!$K$7</f>
        <v>-</v>
      </c>
      <c r="N11" s="124">
        <f>[6]Summary!$L$7</f>
        <v>0</v>
      </c>
      <c r="O11" s="124">
        <f>[6]Summary!$M$7</f>
        <v>0</v>
      </c>
      <c r="P11" s="125" t="str">
        <f>[6]Summary!$N$7</f>
        <v>-</v>
      </c>
      <c r="Q11" s="41"/>
      <c r="R11" s="122">
        <f>[6]Summary!$O$7</f>
        <v>0</v>
      </c>
      <c r="S11" s="123">
        <f>[6]Summary!$P$7</f>
        <v>0</v>
      </c>
      <c r="T11" s="124" t="str">
        <f>[6]Summary!$Q$7</f>
        <v>-</v>
      </c>
      <c r="U11" s="125" t="str">
        <f>[6]Summary!$R$7</f>
        <v>-</v>
      </c>
      <c r="V11" s="41"/>
      <c r="W11" s="122">
        <f>[6]Summary!$S$7</f>
        <v>0</v>
      </c>
      <c r="X11" s="123">
        <f>[6]Summary!$T$7</f>
        <v>0</v>
      </c>
      <c r="Y11" s="124" t="str">
        <f>[6]Summary!$U$7</f>
        <v>-</v>
      </c>
      <c r="Z11" s="125" t="str">
        <f>[6]Summary!$V$7</f>
        <v>-</v>
      </c>
      <c r="AA11" s="42"/>
      <c r="AB11" s="126">
        <f>[6]Summary!$W$7</f>
        <v>0</v>
      </c>
      <c r="AC11" s="123">
        <f>[6]Summary!$X$7</f>
        <v>0</v>
      </c>
      <c r="AD11" s="124" t="str">
        <f>[6]Summary!$Y$7</f>
        <v>-</v>
      </c>
      <c r="AE11" s="127" t="str">
        <f>[6]Summary!$Z$7</f>
        <v>-</v>
      </c>
      <c r="AF11" s="69"/>
      <c r="AG11" s="128">
        <f>[6]Summary!$AA$7</f>
        <v>42138</v>
      </c>
      <c r="AH11" s="120" t="str">
        <f>[6]Summary!$AB$7</f>
        <v>?</v>
      </c>
      <c r="AI11" s="120" t="str">
        <f>[6]Summary!$AC$7</f>
        <v>?</v>
      </c>
      <c r="AJ11" s="120" t="str">
        <f>[6]Summary!$AD$7</f>
        <v>?</v>
      </c>
      <c r="AK11" s="129" t="str">
        <f>[6]Summary!$AE$7</f>
        <v xml:space="preserve">RTL:
POST:
FPGA: </v>
      </c>
    </row>
    <row r="12" spans="2:37" s="34" customFormat="1" x14ac:dyDescent="0.3">
      <c r="B12" s="15">
        <v>7</v>
      </c>
      <c r="C12" s="15" t="str">
        <f>[7]Summary!$B$7</f>
        <v>System Memory</v>
      </c>
      <c r="D12" s="15" t="str">
        <f>[7]Summary!$C$7</f>
        <v>김현욱 선임</v>
      </c>
      <c r="E12" s="36" t="str">
        <f>[7]Summary!$D$7</f>
        <v>김현욱 선임</v>
      </c>
      <c r="F12" s="41"/>
      <c r="G12" s="50">
        <f>[7]Summary!$E$7</f>
        <v>107</v>
      </c>
      <c r="H12" s="50">
        <f>[7]Summary!$F$7</f>
        <v>95</v>
      </c>
      <c r="I12" s="50">
        <f>[7]Summary!$G$7</f>
        <v>14</v>
      </c>
      <c r="J12" s="50">
        <f>[7]Summary!$H$7</f>
        <v>0</v>
      </c>
      <c r="K12" s="50">
        <f>[7]Summary!$I$7</f>
        <v>14</v>
      </c>
      <c r="L12" s="16">
        <f>[7]Summary!$J$7</f>
        <v>0</v>
      </c>
      <c r="M12" s="17">
        <f>[7]Summary!$K$7</f>
        <v>0.70370370370370372</v>
      </c>
      <c r="N12" s="17">
        <f>[7]Summary!$L$7</f>
        <v>0</v>
      </c>
      <c r="O12" s="17">
        <f>[7]Summary!$M$7</f>
        <v>0</v>
      </c>
      <c r="P12" s="112" t="str">
        <f>[7]Summary!$N$7</f>
        <v>-</v>
      </c>
      <c r="Q12" s="41"/>
      <c r="R12" s="50">
        <f>[7]Summary!$O$7</f>
        <v>5</v>
      </c>
      <c r="S12" s="16">
        <f>[7]Summary!$P$7</f>
        <v>0</v>
      </c>
      <c r="T12" s="17">
        <f>[7]Summary!$Q$7</f>
        <v>0</v>
      </c>
      <c r="U12" s="112" t="str">
        <f>[7]Summary!$R$7</f>
        <v>-</v>
      </c>
      <c r="V12" s="41"/>
      <c r="W12" s="50">
        <f>[7]Summary!$S$7</f>
        <v>0</v>
      </c>
      <c r="X12" s="16">
        <f>[7]Summary!$T$7</f>
        <v>0</v>
      </c>
      <c r="Y12" s="17" t="str">
        <f>[7]Summary!$U$7</f>
        <v>-</v>
      </c>
      <c r="Z12" s="112" t="str">
        <f>[7]Summary!$V$7</f>
        <v>-</v>
      </c>
      <c r="AA12" s="42"/>
      <c r="AB12" s="89">
        <f>[7]Summary!$W$7</f>
        <v>5</v>
      </c>
      <c r="AC12" s="16">
        <f>[7]Summary!$X$7</f>
        <v>0</v>
      </c>
      <c r="AD12" s="17">
        <f>[7]Summary!$Y$7</f>
        <v>0</v>
      </c>
      <c r="AE12" s="113" t="str">
        <f>[7]Summary!$Z$7</f>
        <v>-</v>
      </c>
      <c r="AF12" s="69"/>
      <c r="AG12" s="38">
        <f>[7]Summary!$AA$7</f>
        <v>42222</v>
      </c>
      <c r="AH12" s="15" t="str">
        <f>[7]Summary!$AB$7</f>
        <v>?</v>
      </c>
      <c r="AI12" s="15" t="str">
        <f>[7]Summary!$AC$7</f>
        <v>?</v>
      </c>
      <c r="AJ12" s="15" t="str">
        <f>[7]Summary!$AD$7</f>
        <v>?</v>
      </c>
      <c r="AK12" s="18" t="str">
        <f>[7]Summary!$AE$7</f>
        <v xml:space="preserve">RTL:
POST:
FPGA: </v>
      </c>
    </row>
    <row r="13" spans="2:37" s="34" customFormat="1" x14ac:dyDescent="0.3">
      <c r="B13" s="120">
        <v>8</v>
      </c>
      <c r="C13" s="120" t="str">
        <f>[8]Summary!$B$7</f>
        <v>Linked List SE</v>
      </c>
      <c r="D13" s="120" t="str">
        <f>[8]Summary!$C$7</f>
        <v>안병욱 선임</v>
      </c>
      <c r="E13" s="121" t="str">
        <f>[8]Summary!$D$7</f>
        <v>안병욱 선임</v>
      </c>
      <c r="F13" s="41"/>
      <c r="G13" s="122">
        <f>[8]Summary!$E$7</f>
        <v>21</v>
      </c>
      <c r="H13" s="122">
        <f>[8]Summary!$F$7</f>
        <v>0</v>
      </c>
      <c r="I13" s="122">
        <f>[8]Summary!$G$7</f>
        <v>0</v>
      </c>
      <c r="J13" s="122">
        <f>[8]Summary!$H$7</f>
        <v>0</v>
      </c>
      <c r="K13" s="122">
        <f>[8]Summary!$I$7</f>
        <v>1</v>
      </c>
      <c r="L13" s="123">
        <f>[8]Summary!$J$7</f>
        <v>0</v>
      </c>
      <c r="M13" s="124">
        <f>[8]Summary!$K$7</f>
        <v>0</v>
      </c>
      <c r="N13" s="124">
        <f>[8]Summary!$L$7</f>
        <v>0</v>
      </c>
      <c r="O13" s="124">
        <f>[8]Summary!$M$7</f>
        <v>0</v>
      </c>
      <c r="P13" s="125" t="str">
        <f>[8]Summary!$N$7</f>
        <v>-</v>
      </c>
      <c r="Q13" s="41"/>
      <c r="R13" s="122">
        <f>[8]Summary!$O$7</f>
        <v>22</v>
      </c>
      <c r="S13" s="123">
        <f>[8]Summary!$P$7</f>
        <v>0</v>
      </c>
      <c r="T13" s="124">
        <f>[8]Summary!$Q$7</f>
        <v>0</v>
      </c>
      <c r="U13" s="125" t="str">
        <f>[8]Summary!$R$7</f>
        <v>-</v>
      </c>
      <c r="V13" s="41"/>
      <c r="W13" s="122">
        <f>[8]Summary!$S$7</f>
        <v>5</v>
      </c>
      <c r="X13" s="123">
        <f>[8]Summary!$T$7</f>
        <v>0</v>
      </c>
      <c r="Y13" s="124">
        <f>[8]Summary!$U$7</f>
        <v>0</v>
      </c>
      <c r="Z13" s="125" t="str">
        <f>[8]Summary!$V$7</f>
        <v>-</v>
      </c>
      <c r="AA13" s="42"/>
      <c r="AB13" s="126">
        <f>[8]Summary!$W$7</f>
        <v>21</v>
      </c>
      <c r="AC13" s="123">
        <f>[8]Summary!$X$7</f>
        <v>0</v>
      </c>
      <c r="AD13" s="124">
        <f>[8]Summary!$Y$7</f>
        <v>0</v>
      </c>
      <c r="AE13" s="127" t="str">
        <f>[8]Summary!$Z$7</f>
        <v>-</v>
      </c>
      <c r="AF13" s="69"/>
      <c r="AG13" s="128">
        <f>[8]Summary!$AA$7</f>
        <v>42222</v>
      </c>
      <c r="AH13" s="120" t="str">
        <f>[8]Summary!$AB$7</f>
        <v>?</v>
      </c>
      <c r="AI13" s="120" t="str">
        <f>[8]Summary!$AC$7</f>
        <v>?</v>
      </c>
      <c r="AJ13" s="120" t="str">
        <f>[8]Summary!$AD$7</f>
        <v>?</v>
      </c>
      <c r="AK13" s="129" t="str">
        <f>[8]Summary!$AE$7</f>
        <v xml:space="preserve">RTL:
POST:
FPGA: </v>
      </c>
    </row>
    <row r="14" spans="2:37" s="34" customFormat="1" x14ac:dyDescent="0.3">
      <c r="B14" s="15">
        <v>9</v>
      </c>
      <c r="C14" s="15" t="str">
        <f>[9]Summary!$B$7</f>
        <v>DMA</v>
      </c>
      <c r="D14" s="15" t="str">
        <f>[9]Summary!$C$7</f>
        <v>안병욱 선임</v>
      </c>
      <c r="E14" s="36" t="str">
        <f>[9]Summary!$D$7</f>
        <v>안병욱 선임</v>
      </c>
      <c r="F14" s="41"/>
      <c r="G14" s="50">
        <f>[9]Summary!$E$7</f>
        <v>29</v>
      </c>
      <c r="H14" s="50">
        <f>[9]Summary!$F$7</f>
        <v>28</v>
      </c>
      <c r="I14" s="50">
        <f>[9]Summary!$G$7</f>
        <v>0</v>
      </c>
      <c r="J14" s="50">
        <f>[9]Summary!$H$7</f>
        <v>0</v>
      </c>
      <c r="K14" s="50">
        <f>[9]Summary!$I$7</f>
        <v>34</v>
      </c>
      <c r="L14" s="16">
        <f>[9]Summary!$J$7</f>
        <v>0</v>
      </c>
      <c r="M14" s="17">
        <f>[9]Summary!$K$7</f>
        <v>0.44444444444444442</v>
      </c>
      <c r="N14" s="17">
        <f>[9]Summary!$L$7</f>
        <v>0</v>
      </c>
      <c r="O14" s="17">
        <f>[9]Summary!$M$7</f>
        <v>0</v>
      </c>
      <c r="P14" s="112" t="str">
        <f>[9]Summary!$N$7</f>
        <v>-</v>
      </c>
      <c r="Q14" s="41"/>
      <c r="R14" s="50">
        <f>[9]Summary!$O$7</f>
        <v>26</v>
      </c>
      <c r="S14" s="16">
        <f>[9]Summary!$P$7</f>
        <v>0</v>
      </c>
      <c r="T14" s="17">
        <f>[9]Summary!$Q$7</f>
        <v>0</v>
      </c>
      <c r="U14" s="112" t="str">
        <f>[9]Summary!$R$7</f>
        <v>-</v>
      </c>
      <c r="V14" s="41"/>
      <c r="W14" s="50">
        <f>[9]Summary!$S$7</f>
        <v>5</v>
      </c>
      <c r="X14" s="16">
        <f>[9]Summary!$T$7</f>
        <v>0</v>
      </c>
      <c r="Y14" s="17">
        <f>[9]Summary!$U$7</f>
        <v>0</v>
      </c>
      <c r="Z14" s="112" t="str">
        <f>[9]Summary!$V$7</f>
        <v>-</v>
      </c>
      <c r="AA14" s="42"/>
      <c r="AB14" s="89">
        <f>[9]Summary!$W$7</f>
        <v>13</v>
      </c>
      <c r="AC14" s="16">
        <f>[9]Summary!$X$7</f>
        <v>0</v>
      </c>
      <c r="AD14" s="17">
        <f>[9]Summary!$Y$7</f>
        <v>0</v>
      </c>
      <c r="AE14" s="113" t="str">
        <f>[9]Summary!$Z$7</f>
        <v>-</v>
      </c>
      <c r="AF14" s="69"/>
      <c r="AG14" s="38">
        <f>[9]Summary!$AA$7</f>
        <v>42201</v>
      </c>
      <c r="AH14" s="15" t="str">
        <f>[9]Summary!$AB$7</f>
        <v>?</v>
      </c>
      <c r="AI14" s="15" t="str">
        <f>[9]Summary!$AC$7</f>
        <v>?</v>
      </c>
      <c r="AJ14" s="15" t="str">
        <f>[9]Summary!$AD$7</f>
        <v>?</v>
      </c>
      <c r="AK14" s="18" t="str">
        <f>[9]Summary!$AE$7</f>
        <v xml:space="preserve">RTL:
POST:
FPGA: </v>
      </c>
    </row>
    <row r="15" spans="2:37" s="34" customFormat="1" x14ac:dyDescent="0.3">
      <c r="B15" s="120">
        <v>10</v>
      </c>
      <c r="C15" s="120" t="str">
        <f>[10]Summary!$B$7</f>
        <v>Back Bone</v>
      </c>
      <c r="D15" s="120" t="str">
        <f>[10]Summary!$C$7</f>
        <v>최호윤 수석</v>
      </c>
      <c r="E15" s="121" t="str">
        <f>[10]Summary!$D$7</f>
        <v>최호윤 수석</v>
      </c>
      <c r="F15" s="41"/>
      <c r="G15" s="122">
        <f>[10]Summary!$E$7</f>
        <v>4</v>
      </c>
      <c r="H15" s="122">
        <f>[10]Summary!$F$7</f>
        <v>0</v>
      </c>
      <c r="I15" s="122">
        <f>[10]Summary!$G$7</f>
        <v>0</v>
      </c>
      <c r="J15" s="122">
        <f>[10]Summary!$H$7</f>
        <v>0</v>
      </c>
      <c r="K15" s="122">
        <f>[10]Summary!$I$7</f>
        <v>0</v>
      </c>
      <c r="L15" s="123">
        <f>[10]Summary!$J$7</f>
        <v>0</v>
      </c>
      <c r="M15" s="124">
        <f>[10]Summary!$K$7</f>
        <v>0</v>
      </c>
      <c r="N15" s="124">
        <f>[10]Summary!$L$7</f>
        <v>0</v>
      </c>
      <c r="O15" s="124">
        <f>[10]Summary!$M$7</f>
        <v>0</v>
      </c>
      <c r="P15" s="125" t="str">
        <f>[10]Summary!$N$7</f>
        <v>-</v>
      </c>
      <c r="Q15" s="41"/>
      <c r="R15" s="122">
        <f>[10]Summary!$O$7</f>
        <v>0</v>
      </c>
      <c r="S15" s="123">
        <f>[10]Summary!$P$7</f>
        <v>0</v>
      </c>
      <c r="T15" s="124" t="str">
        <f>[10]Summary!$Q$7</f>
        <v>-</v>
      </c>
      <c r="U15" s="125" t="str">
        <f>[10]Summary!$R$7</f>
        <v>-</v>
      </c>
      <c r="V15" s="41"/>
      <c r="W15" s="122">
        <f>[10]Summary!$S$7</f>
        <v>0</v>
      </c>
      <c r="X15" s="123">
        <f>[10]Summary!$T$7</f>
        <v>0</v>
      </c>
      <c r="Y15" s="124" t="str">
        <f>[10]Summary!$U$7</f>
        <v>-</v>
      </c>
      <c r="Z15" s="125" t="str">
        <f>[10]Summary!$V$7</f>
        <v>-</v>
      </c>
      <c r="AA15" s="42"/>
      <c r="AB15" s="126">
        <f>[10]Summary!$W$7</f>
        <v>0</v>
      </c>
      <c r="AC15" s="123">
        <f>[10]Summary!$X$7</f>
        <v>0</v>
      </c>
      <c r="AD15" s="124" t="str">
        <f>[10]Summary!$Y$7</f>
        <v>-</v>
      </c>
      <c r="AE15" s="127" t="str">
        <f>[10]Summary!$Z$7</f>
        <v>-</v>
      </c>
      <c r="AF15" s="69"/>
      <c r="AG15" s="128">
        <f>[10]Summary!$AA$7</f>
        <v>42152</v>
      </c>
      <c r="AH15" s="120" t="str">
        <f>[10]Summary!$AB$7</f>
        <v>?</v>
      </c>
      <c r="AI15" s="120" t="str">
        <f>[10]Summary!$AC$7</f>
        <v>?</v>
      </c>
      <c r="AJ15" s="120" t="str">
        <f>[10]Summary!$AD$7</f>
        <v>?</v>
      </c>
      <c r="AK15" s="129" t="str">
        <f>[10]Summary!$AE$7</f>
        <v xml:space="preserve">RTL:
POST:
FPGA: </v>
      </c>
    </row>
    <row r="16" spans="2:37" s="34" customFormat="1" x14ac:dyDescent="0.3">
      <c r="B16" s="15">
        <v>11</v>
      </c>
      <c r="C16" s="15" t="str">
        <f>[11]Summary!$B$7</f>
        <v>Analog IP</v>
      </c>
      <c r="D16" s="15" t="str">
        <f>[11]Summary!$C$7</f>
        <v>양창호 선임</v>
      </c>
      <c r="E16" s="36" t="str">
        <f>[11]Summary!$D$7</f>
        <v>양창호 선임</v>
      </c>
      <c r="F16" s="41"/>
      <c r="G16" s="50">
        <f>[11]Summary!$E$7</f>
        <v>0</v>
      </c>
      <c r="H16" s="50">
        <f>[11]Summary!$F$7</f>
        <v>0</v>
      </c>
      <c r="I16" s="50">
        <f>[11]Summary!$G$7</f>
        <v>0</v>
      </c>
      <c r="J16" s="50">
        <f>[11]Summary!$H$7</f>
        <v>0</v>
      </c>
      <c r="K16" s="50">
        <f>[11]Summary!$I$7</f>
        <v>0</v>
      </c>
      <c r="L16" s="16">
        <f>[11]Summary!$J$7</f>
        <v>0</v>
      </c>
      <c r="M16" s="17" t="str">
        <f>[11]Summary!$K$7</f>
        <v>-</v>
      </c>
      <c r="N16" s="17">
        <f>[11]Summary!$L$7</f>
        <v>0</v>
      </c>
      <c r="O16" s="17">
        <f>[11]Summary!$M$7</f>
        <v>0</v>
      </c>
      <c r="P16" s="112" t="str">
        <f>[11]Summary!$N$7</f>
        <v>-</v>
      </c>
      <c r="Q16" s="41"/>
      <c r="R16" s="50">
        <f>[11]Summary!$O$7</f>
        <v>0</v>
      </c>
      <c r="S16" s="16">
        <f>[11]Summary!$P$7</f>
        <v>0</v>
      </c>
      <c r="T16" s="17" t="str">
        <f>[11]Summary!$Q$7</f>
        <v>-</v>
      </c>
      <c r="U16" s="112" t="str">
        <f>[11]Summary!$R$7</f>
        <v>-</v>
      </c>
      <c r="V16" s="41"/>
      <c r="W16" s="50">
        <f>[11]Summary!$S$7</f>
        <v>0</v>
      </c>
      <c r="X16" s="16">
        <f>[11]Summary!$T$7</f>
        <v>0</v>
      </c>
      <c r="Y16" s="17" t="str">
        <f>[11]Summary!$U$7</f>
        <v>-</v>
      </c>
      <c r="Z16" s="112" t="str">
        <f>[11]Summary!$V$7</f>
        <v>-</v>
      </c>
      <c r="AA16" s="42"/>
      <c r="AB16" s="89">
        <f>[11]Summary!$W$7</f>
        <v>0</v>
      </c>
      <c r="AC16" s="16">
        <f>[11]Summary!$X$7</f>
        <v>0</v>
      </c>
      <c r="AD16" s="17" t="str">
        <f>[11]Summary!$Y$7</f>
        <v>-</v>
      </c>
      <c r="AE16" s="113" t="str">
        <f>[11]Summary!$Z$7</f>
        <v>-</v>
      </c>
      <c r="AF16" s="69"/>
      <c r="AG16" s="38">
        <f>[11]Summary!$AA$7</f>
        <v>42138</v>
      </c>
      <c r="AH16" s="15" t="str">
        <f>[11]Summary!$AB$7</f>
        <v>?</v>
      </c>
      <c r="AI16" s="15" t="str">
        <f>[11]Summary!$AC$7</f>
        <v>?</v>
      </c>
      <c r="AJ16" s="15" t="str">
        <f>[11]Summary!$AD$7</f>
        <v>?</v>
      </c>
      <c r="AK16" s="18" t="str">
        <f>[11]Summary!$AE$7</f>
        <v xml:space="preserve">RTL:
POST:
FPGA: </v>
      </c>
    </row>
    <row r="17" spans="2:37" s="34" customFormat="1" x14ac:dyDescent="0.3">
      <c r="B17" s="120">
        <v>12</v>
      </c>
      <c r="C17" s="120" t="str">
        <f>[12]Summary!$B$7</f>
        <v>SysCtrl: PMU</v>
      </c>
      <c r="D17" s="120" t="str">
        <f>[12]Summary!$C$7</f>
        <v>김정욱 책임</v>
      </c>
      <c r="E17" s="121" t="str">
        <f>[12]Summary!$D$7</f>
        <v>김정욱 책임</v>
      </c>
      <c r="F17" s="41"/>
      <c r="G17" s="122">
        <f>[12]Summary!$E$7</f>
        <v>79</v>
      </c>
      <c r="H17" s="122">
        <f>[12]Summary!$F$7</f>
        <v>79</v>
      </c>
      <c r="I17" s="122">
        <f>[12]Summary!$G$7</f>
        <v>115</v>
      </c>
      <c r="J17" s="122">
        <f>[12]Summary!$H$7</f>
        <v>0</v>
      </c>
      <c r="K17" s="122">
        <f>[12]Summary!$I$7</f>
        <v>115</v>
      </c>
      <c r="L17" s="123">
        <f>[12]Summary!$J$7</f>
        <v>0</v>
      </c>
      <c r="M17" s="124">
        <f>[12]Summary!$K$7</f>
        <v>0.25566343042071199</v>
      </c>
      <c r="N17" s="124">
        <f>[12]Summary!$L$7</f>
        <v>0</v>
      </c>
      <c r="O17" s="124">
        <f>[12]Summary!$M$7</f>
        <v>0</v>
      </c>
      <c r="P17" s="125" t="str">
        <f>[12]Summary!$N$7</f>
        <v>-</v>
      </c>
      <c r="Q17" s="41"/>
      <c r="R17" s="122">
        <f>[12]Summary!$O$7</f>
        <v>61</v>
      </c>
      <c r="S17" s="123">
        <f>[12]Summary!$P$7</f>
        <v>0</v>
      </c>
      <c r="T17" s="124">
        <f>[12]Summary!$Q$7</f>
        <v>0</v>
      </c>
      <c r="U17" s="125" t="str">
        <f>[12]Summary!$R$7</f>
        <v>-</v>
      </c>
      <c r="V17" s="41"/>
      <c r="W17" s="122">
        <f>[12]Summary!$S$7</f>
        <v>114</v>
      </c>
      <c r="X17" s="123">
        <f>[12]Summary!$T$7</f>
        <v>0</v>
      </c>
      <c r="Y17" s="124">
        <f>[12]Summary!$U$7</f>
        <v>0</v>
      </c>
      <c r="Z17" s="125" t="str">
        <f>[12]Summary!$V$7</f>
        <v>-</v>
      </c>
      <c r="AA17" s="42"/>
      <c r="AB17" s="126">
        <f>[12]Summary!$W$7</f>
        <v>104</v>
      </c>
      <c r="AC17" s="123">
        <f>[12]Summary!$X$7</f>
        <v>0</v>
      </c>
      <c r="AD17" s="124">
        <f>[12]Summary!$Y$7</f>
        <v>0</v>
      </c>
      <c r="AE17" s="127" t="str">
        <f>[12]Summary!$Z$7</f>
        <v>-</v>
      </c>
      <c r="AF17" s="69"/>
      <c r="AG17" s="128">
        <f>[12]Summary!$AA$7</f>
        <v>42223</v>
      </c>
      <c r="AH17" s="120" t="str">
        <f>[12]Summary!$AB$7</f>
        <v>?</v>
      </c>
      <c r="AI17" s="120" t="str">
        <f>[12]Summary!$AC$7</f>
        <v>?</v>
      </c>
      <c r="AJ17" s="120" t="str">
        <f>[12]Summary!$AD$7</f>
        <v>?</v>
      </c>
      <c r="AK17" s="129" t="str">
        <f>[12]Summary!$AE$7</f>
        <v xml:space="preserve">RTL:
POST:
FPGA: </v>
      </c>
    </row>
    <row r="18" spans="2:37" s="34" customFormat="1" x14ac:dyDescent="0.3">
      <c r="B18" s="15">
        <v>13</v>
      </c>
      <c r="C18" s="15" t="str">
        <f>[13]Summary!$B$7</f>
        <v>RPMB</v>
      </c>
      <c r="D18" s="15" t="str">
        <f>[13]Summary!$C$7</f>
        <v>안병욱 선임</v>
      </c>
      <c r="E18" s="36" t="str">
        <f>[13]Summary!$D$7</f>
        <v>안병욱 선임</v>
      </c>
      <c r="F18" s="41"/>
      <c r="G18" s="50">
        <f>[13]Summary!$E$7</f>
        <v>27</v>
      </c>
      <c r="H18" s="50">
        <f>[13]Summary!$F$7</f>
        <v>25</v>
      </c>
      <c r="I18" s="50">
        <f>[13]Summary!$G$7</f>
        <v>29</v>
      </c>
      <c r="J18" s="50">
        <f>[13]Summary!$H$7</f>
        <v>0</v>
      </c>
      <c r="K18" s="50">
        <f>[13]Summary!$I$7</f>
        <v>1</v>
      </c>
      <c r="L18" s="16">
        <f>[13]Summary!$J$7</f>
        <v>0</v>
      </c>
      <c r="M18" s="17">
        <f>[13]Summary!$K$7</f>
        <v>0.43859649122807015</v>
      </c>
      <c r="N18" s="17">
        <f>[13]Summary!$L$7</f>
        <v>0</v>
      </c>
      <c r="O18" s="17">
        <f>[13]Summary!$M$7</f>
        <v>0</v>
      </c>
      <c r="P18" s="112" t="str">
        <f>[13]Summary!$N$7</f>
        <v>-</v>
      </c>
      <c r="Q18" s="41"/>
      <c r="R18" s="50">
        <f>[13]Summary!$O$7</f>
        <v>18</v>
      </c>
      <c r="S18" s="16">
        <f>[13]Summary!$P$7</f>
        <v>0</v>
      </c>
      <c r="T18" s="17">
        <f>[13]Summary!$Q$7</f>
        <v>0</v>
      </c>
      <c r="U18" s="112" t="str">
        <f>[13]Summary!$R$7</f>
        <v>-</v>
      </c>
      <c r="V18" s="41"/>
      <c r="W18" s="50">
        <f>[13]Summary!$S$7</f>
        <v>2</v>
      </c>
      <c r="X18" s="16">
        <f>[13]Summary!$T$7</f>
        <v>0</v>
      </c>
      <c r="Y18" s="17">
        <f>[13]Summary!$U$7</f>
        <v>0</v>
      </c>
      <c r="Z18" s="112" t="str">
        <f>[13]Summary!$V$7</f>
        <v>-</v>
      </c>
      <c r="AA18" s="42"/>
      <c r="AB18" s="89">
        <f>[13]Summary!$W$7</f>
        <v>18</v>
      </c>
      <c r="AC18" s="16">
        <f>[13]Summary!$X$7</f>
        <v>0</v>
      </c>
      <c r="AD18" s="17">
        <f>[13]Summary!$Y$7</f>
        <v>0</v>
      </c>
      <c r="AE18" s="113" t="str">
        <f>[13]Summary!$Z$7</f>
        <v>-</v>
      </c>
      <c r="AF18" s="69"/>
      <c r="AG18" s="38">
        <f>[13]Summary!$AA$7</f>
        <v>42164</v>
      </c>
      <c r="AH18" s="15" t="str">
        <f>[13]Summary!$AB$7</f>
        <v>?</v>
      </c>
      <c r="AI18" s="15" t="str">
        <f>[13]Summary!$AC$7</f>
        <v>?</v>
      </c>
      <c r="AJ18" s="15" t="str">
        <f>[13]Summary!$AD$7</f>
        <v>?</v>
      </c>
      <c r="AK18" s="18" t="str">
        <f>[13]Summary!$AE$7</f>
        <v xml:space="preserve">RTL:
POST:
FPGA: </v>
      </c>
    </row>
    <row r="19" spans="2:37" s="34" customFormat="1" x14ac:dyDescent="0.3">
      <c r="B19" s="120">
        <v>14</v>
      </c>
      <c r="C19" s="120" t="str">
        <f>[14]Summary!$B$7</f>
        <v>Mail Box</v>
      </c>
      <c r="D19" s="120" t="str">
        <f>[14]Summary!$C$7</f>
        <v>안병욱 선임</v>
      </c>
      <c r="E19" s="121" t="str">
        <f>[14]Summary!$D$7</f>
        <v>안병욱 선임</v>
      </c>
      <c r="F19" s="41"/>
      <c r="G19" s="122">
        <f>[14]Summary!$E$7</f>
        <v>28</v>
      </c>
      <c r="H19" s="122">
        <f>[14]Summary!$F$7</f>
        <v>0</v>
      </c>
      <c r="I19" s="122">
        <f>[14]Summary!$G$7</f>
        <v>1</v>
      </c>
      <c r="J19" s="122">
        <f>[14]Summary!$H$7</f>
        <v>0</v>
      </c>
      <c r="K19" s="122">
        <f>[14]Summary!$I$7</f>
        <v>17</v>
      </c>
      <c r="L19" s="123">
        <f>[14]Summary!$J$7</f>
        <v>0</v>
      </c>
      <c r="M19" s="124">
        <f>[14]Summary!$K$7</f>
        <v>0</v>
      </c>
      <c r="N19" s="124">
        <f>[14]Summary!$L$7</f>
        <v>0</v>
      </c>
      <c r="O19" s="124">
        <f>[14]Summary!$M$7</f>
        <v>0</v>
      </c>
      <c r="P19" s="125" t="str">
        <f>[14]Summary!$N$7</f>
        <v>-</v>
      </c>
      <c r="Q19" s="41"/>
      <c r="R19" s="122">
        <f>[14]Summary!$O$7</f>
        <v>10</v>
      </c>
      <c r="S19" s="123">
        <f>[14]Summary!$P$7</f>
        <v>0</v>
      </c>
      <c r="T19" s="124">
        <f>[14]Summary!$Q$7</f>
        <v>0</v>
      </c>
      <c r="U19" s="125" t="str">
        <f>[14]Summary!$R$7</f>
        <v>-</v>
      </c>
      <c r="V19" s="41"/>
      <c r="W19" s="122">
        <f>[14]Summary!$S$7</f>
        <v>1</v>
      </c>
      <c r="X19" s="123">
        <f>[14]Summary!$T$7</f>
        <v>0</v>
      </c>
      <c r="Y19" s="124">
        <f>[14]Summary!$U$7</f>
        <v>0</v>
      </c>
      <c r="Z19" s="125" t="str">
        <f>[14]Summary!$V$7</f>
        <v>-</v>
      </c>
      <c r="AA19" s="42"/>
      <c r="AB19" s="126">
        <f>[14]Summary!$W$7</f>
        <v>8</v>
      </c>
      <c r="AC19" s="123">
        <f>[14]Summary!$X$7</f>
        <v>0</v>
      </c>
      <c r="AD19" s="124">
        <f>[14]Summary!$Y$7</f>
        <v>0</v>
      </c>
      <c r="AE19" s="127" t="str">
        <f>[14]Summary!$Z$7</f>
        <v>-</v>
      </c>
      <c r="AF19" s="69"/>
      <c r="AG19" s="128">
        <f>[14]Summary!$AA$7</f>
        <v>42165</v>
      </c>
      <c r="AH19" s="120" t="str">
        <f>[14]Summary!$AB$7</f>
        <v>?</v>
      </c>
      <c r="AI19" s="120" t="str">
        <f>[14]Summary!$AC$7</f>
        <v>?</v>
      </c>
      <c r="AJ19" s="120" t="str">
        <f>[14]Summary!$AD$7</f>
        <v>?</v>
      </c>
      <c r="AK19" s="129" t="str">
        <f>[14]Summary!$AE$7</f>
        <v xml:space="preserve">RTL:
POST:
FPGA: </v>
      </c>
    </row>
    <row r="20" spans="2:37" s="34" customFormat="1" x14ac:dyDescent="0.3">
      <c r="B20" s="15">
        <v>15</v>
      </c>
      <c r="C20" s="15" t="str">
        <f>[15]Summary!$B$7</f>
        <v>Timer</v>
      </c>
      <c r="D20" s="15" t="str">
        <f>[15]Summary!$C$7</f>
        <v>안병욱 선임</v>
      </c>
      <c r="E20" s="36" t="str">
        <f>[15]Summary!$D$7</f>
        <v>안병욱 선임</v>
      </c>
      <c r="F20" s="41"/>
      <c r="G20" s="50">
        <f>[15]Summary!$E$7</f>
        <v>0</v>
      </c>
      <c r="H20" s="50">
        <f>[15]Summary!$F$7</f>
        <v>0</v>
      </c>
      <c r="I20" s="50">
        <f>[15]Summary!$G$7</f>
        <v>0</v>
      </c>
      <c r="J20" s="50">
        <f>[15]Summary!$H$7</f>
        <v>0</v>
      </c>
      <c r="K20" s="50">
        <f>[15]Summary!$I$7</f>
        <v>0</v>
      </c>
      <c r="L20" s="16">
        <f>[15]Summary!$J$7</f>
        <v>0</v>
      </c>
      <c r="M20" s="17" t="str">
        <f>[15]Summary!$K$7</f>
        <v>-</v>
      </c>
      <c r="N20" s="17">
        <f>[15]Summary!$L$7</f>
        <v>0</v>
      </c>
      <c r="O20" s="17">
        <f>[15]Summary!$M$7</f>
        <v>0</v>
      </c>
      <c r="P20" s="112" t="str">
        <f>[15]Summary!$N$7</f>
        <v>-</v>
      </c>
      <c r="Q20" s="41"/>
      <c r="R20" s="50">
        <f>[15]Summary!$O$7</f>
        <v>0</v>
      </c>
      <c r="S20" s="16">
        <f>[15]Summary!$P$7</f>
        <v>0</v>
      </c>
      <c r="T20" s="17" t="str">
        <f>[15]Summary!$Q$7</f>
        <v>-</v>
      </c>
      <c r="U20" s="112" t="str">
        <f>[15]Summary!$R$7</f>
        <v>-</v>
      </c>
      <c r="V20" s="41"/>
      <c r="W20" s="50">
        <f>[15]Summary!$S$7</f>
        <v>0</v>
      </c>
      <c r="X20" s="16">
        <f>[15]Summary!$T$7</f>
        <v>0</v>
      </c>
      <c r="Y20" s="17" t="str">
        <f>[15]Summary!$U$7</f>
        <v>-</v>
      </c>
      <c r="Z20" s="112" t="str">
        <f>[15]Summary!$V$7</f>
        <v>-</v>
      </c>
      <c r="AA20" s="42"/>
      <c r="AB20" s="89">
        <f>[15]Summary!$W$7</f>
        <v>0</v>
      </c>
      <c r="AC20" s="16">
        <f>[15]Summary!$X$7</f>
        <v>0</v>
      </c>
      <c r="AD20" s="17" t="str">
        <f>[15]Summary!$Y$7</f>
        <v>-</v>
      </c>
      <c r="AE20" s="113" t="str">
        <f>[15]Summary!$Z$7</f>
        <v>-</v>
      </c>
      <c r="AF20" s="69"/>
      <c r="AG20" s="38">
        <f>[15]Summary!$AA$7</f>
        <v>42138</v>
      </c>
      <c r="AH20" s="15" t="str">
        <f>[15]Summary!$AB$7</f>
        <v>?</v>
      </c>
      <c r="AI20" s="15" t="str">
        <f>[15]Summary!$AC$7</f>
        <v>?</v>
      </c>
      <c r="AJ20" s="15" t="str">
        <f>[15]Summary!$AD$7</f>
        <v>?</v>
      </c>
      <c r="AK20" s="18" t="str">
        <f>[15]Summary!$AE$7</f>
        <v xml:space="preserve">RTL:
POST:
FPGA: </v>
      </c>
    </row>
    <row r="21" spans="2:37" s="34" customFormat="1" x14ac:dyDescent="0.3">
      <c r="B21" s="120">
        <v>16</v>
      </c>
      <c r="C21" s="120" t="str">
        <f>[16]Summary!$B$7</f>
        <v>WDT</v>
      </c>
      <c r="D21" s="120" t="str">
        <f>[16]Summary!$C$7</f>
        <v>안병욱 선임</v>
      </c>
      <c r="E21" s="121" t="str">
        <f>[16]Summary!$D$7</f>
        <v>안병욱 선임</v>
      </c>
      <c r="F21" s="41"/>
      <c r="G21" s="122">
        <f>[16]Summary!$E$7</f>
        <v>0</v>
      </c>
      <c r="H21" s="122">
        <f>[16]Summary!$F$7</f>
        <v>0</v>
      </c>
      <c r="I21" s="122">
        <f>[16]Summary!$G$7</f>
        <v>0</v>
      </c>
      <c r="J21" s="122">
        <f>[16]Summary!$H$7</f>
        <v>0</v>
      </c>
      <c r="K21" s="122">
        <f>[16]Summary!$I$7</f>
        <v>0</v>
      </c>
      <c r="L21" s="123">
        <f>[16]Summary!$J$7</f>
        <v>0</v>
      </c>
      <c r="M21" s="124" t="str">
        <f>[16]Summary!$K$7</f>
        <v>-</v>
      </c>
      <c r="N21" s="124">
        <f>[16]Summary!$L$7</f>
        <v>0</v>
      </c>
      <c r="O21" s="124">
        <f>[16]Summary!$M$7</f>
        <v>0</v>
      </c>
      <c r="P21" s="125" t="str">
        <f>[16]Summary!$N$7</f>
        <v>-</v>
      </c>
      <c r="Q21" s="41"/>
      <c r="R21" s="122">
        <f>[16]Summary!$O$7</f>
        <v>0</v>
      </c>
      <c r="S21" s="123">
        <f>[16]Summary!$P$7</f>
        <v>0</v>
      </c>
      <c r="T21" s="124" t="str">
        <f>[16]Summary!$Q$7</f>
        <v>-</v>
      </c>
      <c r="U21" s="125" t="str">
        <f>[16]Summary!$R$7</f>
        <v>-</v>
      </c>
      <c r="V21" s="41"/>
      <c r="W21" s="122">
        <f>[16]Summary!$S$7</f>
        <v>0</v>
      </c>
      <c r="X21" s="123">
        <f>[16]Summary!$T$7</f>
        <v>0</v>
      </c>
      <c r="Y21" s="124" t="str">
        <f>[16]Summary!$U$7</f>
        <v>-</v>
      </c>
      <c r="Z21" s="125" t="str">
        <f>[16]Summary!$V$7</f>
        <v>-</v>
      </c>
      <c r="AA21" s="42"/>
      <c r="AB21" s="126">
        <f>[16]Summary!$W$7</f>
        <v>0</v>
      </c>
      <c r="AC21" s="123">
        <f>[16]Summary!$X$7</f>
        <v>0</v>
      </c>
      <c r="AD21" s="124" t="str">
        <f>[16]Summary!$Y$7</f>
        <v>-</v>
      </c>
      <c r="AE21" s="127" t="str">
        <f>[16]Summary!$Z$7</f>
        <v>-</v>
      </c>
      <c r="AF21" s="69"/>
      <c r="AG21" s="128">
        <f>[16]Summary!$AA$7</f>
        <v>42138</v>
      </c>
      <c r="AH21" s="120" t="str">
        <f>[16]Summary!$AB$7</f>
        <v>?</v>
      </c>
      <c r="AI21" s="120" t="str">
        <f>[16]Summary!$AC$7</f>
        <v>?</v>
      </c>
      <c r="AJ21" s="120" t="str">
        <f>[16]Summary!$AD$7</f>
        <v>?</v>
      </c>
      <c r="AK21" s="129" t="str">
        <f>[16]Summary!$AE$7</f>
        <v xml:space="preserve">RTL:
POST:
FPGA: </v>
      </c>
    </row>
    <row r="22" spans="2:37" s="34" customFormat="1" x14ac:dyDescent="0.3">
      <c r="B22" s="15">
        <v>17</v>
      </c>
      <c r="C22" s="15" t="str">
        <f>[17]Summary!$B$7</f>
        <v>UART</v>
      </c>
      <c r="D22" s="15" t="str">
        <f>[17]Summary!$C$7</f>
        <v>안병욱 선임</v>
      </c>
      <c r="E22" s="36" t="str">
        <f>[17]Summary!$D$7</f>
        <v>안병욱 선임</v>
      </c>
      <c r="F22" s="41"/>
      <c r="G22" s="50">
        <f>[17]Summary!$E$7</f>
        <v>0</v>
      </c>
      <c r="H22" s="50">
        <f>[17]Summary!$F$7</f>
        <v>0</v>
      </c>
      <c r="I22" s="50">
        <f>[17]Summary!$G$7</f>
        <v>0</v>
      </c>
      <c r="J22" s="50">
        <f>[17]Summary!$H$7</f>
        <v>0</v>
      </c>
      <c r="K22" s="50">
        <f>[17]Summary!$I$7</f>
        <v>0</v>
      </c>
      <c r="L22" s="16">
        <f>[17]Summary!$J$7</f>
        <v>0</v>
      </c>
      <c r="M22" s="17" t="str">
        <f>[17]Summary!$K$7</f>
        <v>-</v>
      </c>
      <c r="N22" s="17">
        <f>[17]Summary!$L$7</f>
        <v>0</v>
      </c>
      <c r="O22" s="17">
        <f>[17]Summary!$M$7</f>
        <v>0</v>
      </c>
      <c r="P22" s="112" t="str">
        <f>[17]Summary!$N$7</f>
        <v>-</v>
      </c>
      <c r="Q22" s="41"/>
      <c r="R22" s="50">
        <f>[17]Summary!$O$7</f>
        <v>0</v>
      </c>
      <c r="S22" s="16">
        <f>[17]Summary!$P$7</f>
        <v>0</v>
      </c>
      <c r="T22" s="17" t="str">
        <f>[17]Summary!$Q$7</f>
        <v>-</v>
      </c>
      <c r="U22" s="112" t="str">
        <f>[17]Summary!$R$7</f>
        <v>-</v>
      </c>
      <c r="V22" s="41"/>
      <c r="W22" s="50">
        <f>[17]Summary!$S$7</f>
        <v>0</v>
      </c>
      <c r="X22" s="16">
        <f>[17]Summary!$T$7</f>
        <v>0</v>
      </c>
      <c r="Y22" s="17" t="str">
        <f>[17]Summary!$U$7</f>
        <v>-</v>
      </c>
      <c r="Z22" s="112" t="str">
        <f>[17]Summary!$V$7</f>
        <v>-</v>
      </c>
      <c r="AA22" s="42"/>
      <c r="AB22" s="89">
        <f>[17]Summary!$W$7</f>
        <v>0</v>
      </c>
      <c r="AC22" s="16">
        <f>[17]Summary!$X$7</f>
        <v>0</v>
      </c>
      <c r="AD22" s="17" t="str">
        <f>[17]Summary!$Y$7</f>
        <v>-</v>
      </c>
      <c r="AE22" s="113" t="str">
        <f>[17]Summary!$Z$7</f>
        <v>-</v>
      </c>
      <c r="AF22" s="69"/>
      <c r="AG22" s="38">
        <f>[17]Summary!$AA$7</f>
        <v>42138</v>
      </c>
      <c r="AH22" s="15" t="str">
        <f>[17]Summary!$AB$7</f>
        <v>?</v>
      </c>
      <c r="AI22" s="15" t="str">
        <f>[17]Summary!$AC$7</f>
        <v>?</v>
      </c>
      <c r="AJ22" s="15" t="str">
        <f>[17]Summary!$AD$7</f>
        <v>?</v>
      </c>
      <c r="AK22" s="18" t="str">
        <f>[17]Summary!$AE$7</f>
        <v xml:space="preserve">RTL:
POST:
FPGA: </v>
      </c>
    </row>
    <row r="23" spans="2:37" s="34" customFormat="1" x14ac:dyDescent="0.3">
      <c r="B23" s="120">
        <v>18</v>
      </c>
      <c r="C23" s="120" t="str">
        <f>[18]Summary!$B$7</f>
        <v>SysCtrl: Clock</v>
      </c>
      <c r="D23" s="120" t="str">
        <f>[18]Summary!$C$7</f>
        <v>김정욱 책임</v>
      </c>
      <c r="E23" s="121" t="str">
        <f>[18]Summary!$D$7</f>
        <v>김정욱 책임</v>
      </c>
      <c r="F23" s="41"/>
      <c r="G23" s="122">
        <f>[18]Summary!$E$7</f>
        <v>17</v>
      </c>
      <c r="H23" s="122">
        <f>[18]Summary!$F$7</f>
        <v>17</v>
      </c>
      <c r="I23" s="122">
        <f>[18]Summary!$G$7</f>
        <v>17</v>
      </c>
      <c r="J23" s="122">
        <f>[18]Summary!$H$7</f>
        <v>0</v>
      </c>
      <c r="K23" s="122">
        <f>[18]Summary!$I$7</f>
        <v>17</v>
      </c>
      <c r="L23" s="123">
        <f>[18]Summary!$J$7</f>
        <v>0</v>
      </c>
      <c r="M23" s="124">
        <f>[18]Summary!$K$7</f>
        <v>0.33333333333333331</v>
      </c>
      <c r="N23" s="124">
        <f>[18]Summary!$L$7</f>
        <v>0</v>
      </c>
      <c r="O23" s="124">
        <f>[18]Summary!$M$7</f>
        <v>0</v>
      </c>
      <c r="P23" s="125" t="str">
        <f>[18]Summary!$N$7</f>
        <v>-</v>
      </c>
      <c r="Q23" s="41"/>
      <c r="R23" s="122">
        <f>[18]Summary!$O$7</f>
        <v>3</v>
      </c>
      <c r="S23" s="123">
        <f>[18]Summary!$P$7</f>
        <v>0</v>
      </c>
      <c r="T23" s="124">
        <f>[18]Summary!$Q$7</f>
        <v>0</v>
      </c>
      <c r="U23" s="125" t="str">
        <f>[18]Summary!$R$7</f>
        <v>-</v>
      </c>
      <c r="V23" s="41"/>
      <c r="W23" s="122">
        <f>[18]Summary!$S$7</f>
        <v>17</v>
      </c>
      <c r="X23" s="123">
        <f>[18]Summary!$T$7</f>
        <v>0</v>
      </c>
      <c r="Y23" s="124">
        <f>[18]Summary!$U$7</f>
        <v>0</v>
      </c>
      <c r="Z23" s="125" t="str">
        <f>[18]Summary!$V$7</f>
        <v>-</v>
      </c>
      <c r="AA23" s="42"/>
      <c r="AB23" s="126">
        <f>[18]Summary!$W$7</f>
        <v>12</v>
      </c>
      <c r="AC23" s="123">
        <f>[18]Summary!$X$7</f>
        <v>0</v>
      </c>
      <c r="AD23" s="124">
        <f>[18]Summary!$Y$7</f>
        <v>0</v>
      </c>
      <c r="AE23" s="127" t="str">
        <f>[18]Summary!$Z$7</f>
        <v>-</v>
      </c>
      <c r="AF23" s="69"/>
      <c r="AG23" s="128">
        <f>[18]Summary!$AA$7</f>
        <v>42223</v>
      </c>
      <c r="AH23" s="120" t="str">
        <f>[18]Summary!$AB$7</f>
        <v>?</v>
      </c>
      <c r="AI23" s="120" t="str">
        <f>[18]Summary!$AC$7</f>
        <v>?</v>
      </c>
      <c r="AJ23" s="120" t="str">
        <f>[18]Summary!$AD$7</f>
        <v>?</v>
      </c>
      <c r="AK23" s="129" t="str">
        <f>[18]Summary!$AE$7</f>
        <v xml:space="preserve">RTL:
POST:
FPGA: </v>
      </c>
    </row>
    <row r="24" spans="2:37" s="34" customFormat="1" x14ac:dyDescent="0.3">
      <c r="B24" s="15">
        <v>19</v>
      </c>
      <c r="C24" s="15" t="str">
        <f>[19]Summary!$B$7</f>
        <v>SysCtrl: Reset</v>
      </c>
      <c r="D24" s="15" t="str">
        <f>[19]Summary!$C$7</f>
        <v>김정욱 책임</v>
      </c>
      <c r="E24" s="36" t="str">
        <f>[19]Summary!$D$7</f>
        <v>김정욱 책임</v>
      </c>
      <c r="F24" s="41"/>
      <c r="G24" s="50">
        <f>[19]Summary!$E$7</f>
        <v>15</v>
      </c>
      <c r="H24" s="50">
        <f>[19]Summary!$F$7</f>
        <v>15</v>
      </c>
      <c r="I24" s="50">
        <f>[19]Summary!$G$7</f>
        <v>16</v>
      </c>
      <c r="J24" s="50">
        <f>[19]Summary!$H$7</f>
        <v>0</v>
      </c>
      <c r="K24" s="50">
        <f>[19]Summary!$I$7</f>
        <v>17</v>
      </c>
      <c r="L24" s="16">
        <f>[19]Summary!$J$7</f>
        <v>0</v>
      </c>
      <c r="M24" s="17">
        <f>[19]Summary!$K$7</f>
        <v>0.3125</v>
      </c>
      <c r="N24" s="17">
        <f>[19]Summary!$L$7</f>
        <v>0</v>
      </c>
      <c r="O24" s="17">
        <f>[19]Summary!$M$7</f>
        <v>0</v>
      </c>
      <c r="P24" s="112" t="str">
        <f>[19]Summary!$N$7</f>
        <v>-</v>
      </c>
      <c r="Q24" s="41"/>
      <c r="R24" s="50">
        <f>[19]Summary!$O$7</f>
        <v>14</v>
      </c>
      <c r="S24" s="16">
        <f>[19]Summary!$P$7</f>
        <v>0</v>
      </c>
      <c r="T24" s="17">
        <f>[19]Summary!$Q$7</f>
        <v>0</v>
      </c>
      <c r="U24" s="112" t="str">
        <f>[19]Summary!$R$7</f>
        <v>-</v>
      </c>
      <c r="V24" s="41"/>
      <c r="W24" s="50">
        <f>[19]Summary!$S$7</f>
        <v>18</v>
      </c>
      <c r="X24" s="16">
        <f>[19]Summary!$T$7</f>
        <v>0</v>
      </c>
      <c r="Y24" s="17">
        <f>[19]Summary!$U$7</f>
        <v>0</v>
      </c>
      <c r="Z24" s="112" t="str">
        <f>[19]Summary!$V$7</f>
        <v>-</v>
      </c>
      <c r="AA24" s="42"/>
      <c r="AB24" s="89">
        <f>[19]Summary!$W$7</f>
        <v>17</v>
      </c>
      <c r="AC24" s="16">
        <f>[19]Summary!$X$7</f>
        <v>0</v>
      </c>
      <c r="AD24" s="17">
        <f>[19]Summary!$Y$7</f>
        <v>0</v>
      </c>
      <c r="AE24" s="113" t="str">
        <f>[19]Summary!$Z$7</f>
        <v>-</v>
      </c>
      <c r="AF24" s="69"/>
      <c r="AG24" s="38">
        <f>[19]Summary!$AA$7</f>
        <v>42223</v>
      </c>
      <c r="AH24" s="15" t="str">
        <f>[19]Summary!$AB$7</f>
        <v>?</v>
      </c>
      <c r="AI24" s="15" t="str">
        <f>[19]Summary!$AC$7</f>
        <v>?</v>
      </c>
      <c r="AJ24" s="15" t="str">
        <f>[19]Summary!$AD$7</f>
        <v>?</v>
      </c>
      <c r="AK24" s="18" t="str">
        <f>[19]Summary!$AE$7</f>
        <v xml:space="preserve">RTL:
POST:
FPGA: </v>
      </c>
    </row>
    <row r="25" spans="2:37" s="34" customFormat="1" x14ac:dyDescent="0.3">
      <c r="B25" s="120">
        <v>20</v>
      </c>
      <c r="C25" s="120" t="str">
        <f>[20]Summary!$B$7</f>
        <v>eFuse Controller</v>
      </c>
      <c r="D25" s="120" t="str">
        <f>[20]Summary!$C$7</f>
        <v>안병욱 선임</v>
      </c>
      <c r="E25" s="121" t="str">
        <f>[20]Summary!$D$7</f>
        <v>안병욱 선임</v>
      </c>
      <c r="F25" s="41"/>
      <c r="G25" s="122">
        <f>[20]Summary!$E$7</f>
        <v>0</v>
      </c>
      <c r="H25" s="122">
        <f>[20]Summary!$F$7</f>
        <v>0</v>
      </c>
      <c r="I25" s="122">
        <f>[20]Summary!$G$7</f>
        <v>0</v>
      </c>
      <c r="J25" s="122">
        <f>[20]Summary!$H$7</f>
        <v>0</v>
      </c>
      <c r="K25" s="122">
        <f>[20]Summary!$I$7</f>
        <v>0</v>
      </c>
      <c r="L25" s="123">
        <f>[20]Summary!$J$7</f>
        <v>0</v>
      </c>
      <c r="M25" s="124" t="str">
        <f>[20]Summary!$K$7</f>
        <v>-</v>
      </c>
      <c r="N25" s="124">
        <f>[20]Summary!$L$7</f>
        <v>0</v>
      </c>
      <c r="O25" s="124">
        <f>[20]Summary!$M$7</f>
        <v>0</v>
      </c>
      <c r="P25" s="125" t="str">
        <f>[20]Summary!$N$7</f>
        <v>-</v>
      </c>
      <c r="Q25" s="41"/>
      <c r="R25" s="122">
        <f>[20]Summary!$O$7</f>
        <v>0</v>
      </c>
      <c r="S25" s="123">
        <f>[20]Summary!$P$7</f>
        <v>0</v>
      </c>
      <c r="T25" s="124" t="str">
        <f>[20]Summary!$Q$7</f>
        <v>-</v>
      </c>
      <c r="U25" s="125" t="str">
        <f>[20]Summary!$R$7</f>
        <v>-</v>
      </c>
      <c r="V25" s="41"/>
      <c r="W25" s="122">
        <f>[20]Summary!$S$7</f>
        <v>0</v>
      </c>
      <c r="X25" s="123">
        <f>[20]Summary!$T$7</f>
        <v>0</v>
      </c>
      <c r="Y25" s="124" t="str">
        <f>[20]Summary!$U$7</f>
        <v>-</v>
      </c>
      <c r="Z25" s="125" t="str">
        <f>[20]Summary!$V$7</f>
        <v>-</v>
      </c>
      <c r="AA25" s="42"/>
      <c r="AB25" s="126">
        <f>[20]Summary!$W$7</f>
        <v>0</v>
      </c>
      <c r="AC25" s="123">
        <f>[20]Summary!$X$7</f>
        <v>0</v>
      </c>
      <c r="AD25" s="124" t="str">
        <f>[20]Summary!$Y$7</f>
        <v>-</v>
      </c>
      <c r="AE25" s="127" t="str">
        <f>[20]Summary!$Z$7</f>
        <v>-</v>
      </c>
      <c r="AF25" s="69"/>
      <c r="AG25" s="128">
        <f>[20]Summary!$AA$7</f>
        <v>42138</v>
      </c>
      <c r="AH25" s="120" t="str">
        <f>[20]Summary!$AB$7</f>
        <v>?</v>
      </c>
      <c r="AI25" s="120" t="str">
        <f>[20]Summary!$AC$7</f>
        <v>?</v>
      </c>
      <c r="AJ25" s="120" t="str">
        <f>[20]Summary!$AD$7</f>
        <v>?</v>
      </c>
      <c r="AK25" s="129" t="str">
        <f>[20]Summary!$AE$7</f>
        <v xml:space="preserve">RTL:
POST:
FPGA: </v>
      </c>
    </row>
    <row r="26" spans="2:37" s="34" customFormat="1" x14ac:dyDescent="0.3">
      <c r="B26" s="15">
        <v>21</v>
      </c>
      <c r="C26" s="15" t="str">
        <f>[21]Summary!$B$7</f>
        <v>M-PHY</v>
      </c>
      <c r="D26" s="15" t="str">
        <f>[21]Summary!$C$7</f>
        <v>이현주 선임</v>
      </c>
      <c r="E26" s="36" t="str">
        <f>[21]Summary!$D$7</f>
        <v>이현주 선임</v>
      </c>
      <c r="F26" s="41"/>
      <c r="G26" s="50">
        <f>[21]Summary!$E$7</f>
        <v>0</v>
      </c>
      <c r="H26" s="50">
        <f>[21]Summary!$F$7</f>
        <v>0</v>
      </c>
      <c r="I26" s="50">
        <f>[21]Summary!$G$7</f>
        <v>0</v>
      </c>
      <c r="J26" s="50">
        <f>[21]Summary!$H$7</f>
        <v>0</v>
      </c>
      <c r="K26" s="50">
        <f>[21]Summary!$I$7</f>
        <v>0</v>
      </c>
      <c r="L26" s="16">
        <f>[21]Summary!$J$7</f>
        <v>0</v>
      </c>
      <c r="M26" s="17" t="str">
        <f>[21]Summary!$K$7</f>
        <v>-</v>
      </c>
      <c r="N26" s="17">
        <f>[21]Summary!$L$7</f>
        <v>0</v>
      </c>
      <c r="O26" s="17">
        <f>[21]Summary!$M$7</f>
        <v>0</v>
      </c>
      <c r="P26" s="112" t="str">
        <f>[21]Summary!$N$7</f>
        <v>-</v>
      </c>
      <c r="Q26" s="41"/>
      <c r="R26" s="50">
        <f>[21]Summary!$O$7</f>
        <v>0</v>
      </c>
      <c r="S26" s="16">
        <f>[21]Summary!$P$7</f>
        <v>0</v>
      </c>
      <c r="T26" s="17" t="str">
        <f>[21]Summary!$Q$7</f>
        <v>-</v>
      </c>
      <c r="U26" s="112" t="str">
        <f>[21]Summary!$R$7</f>
        <v>-</v>
      </c>
      <c r="V26" s="41"/>
      <c r="W26" s="50">
        <f>[21]Summary!$S$7</f>
        <v>0</v>
      </c>
      <c r="X26" s="16">
        <f>[21]Summary!$T$7</f>
        <v>0</v>
      </c>
      <c r="Y26" s="17" t="str">
        <f>[21]Summary!$U$7</f>
        <v>-</v>
      </c>
      <c r="Z26" s="112" t="str">
        <f>[21]Summary!$V$7</f>
        <v>-</v>
      </c>
      <c r="AA26" s="42"/>
      <c r="AB26" s="89">
        <f>[21]Summary!$W$7</f>
        <v>0</v>
      </c>
      <c r="AC26" s="16">
        <f>[21]Summary!$X$7</f>
        <v>0</v>
      </c>
      <c r="AD26" s="17" t="str">
        <f>[21]Summary!$Y$7</f>
        <v>-</v>
      </c>
      <c r="AE26" s="113" t="str">
        <f>[21]Summary!$Z$7</f>
        <v>-</v>
      </c>
      <c r="AF26" s="69"/>
      <c r="AG26" s="38">
        <f>[21]Summary!$AA$7</f>
        <v>42138</v>
      </c>
      <c r="AH26" s="15" t="str">
        <f>[21]Summary!$AB$7</f>
        <v>?</v>
      </c>
      <c r="AI26" s="15" t="str">
        <f>[21]Summary!$AC$7</f>
        <v>?</v>
      </c>
      <c r="AJ26" s="15" t="str">
        <f>[21]Summary!$AD$7</f>
        <v>?</v>
      </c>
      <c r="AK26" s="18" t="str">
        <f>[21]Summary!$AE$7</f>
        <v xml:space="preserve">RTL:
POST:
FPGA: </v>
      </c>
    </row>
    <row r="27" spans="2:37" s="34" customFormat="1" x14ac:dyDescent="0.3">
      <c r="B27" s="120">
        <v>22</v>
      </c>
      <c r="C27" s="120" t="str">
        <f>[22]Summary!$B$7</f>
        <v>Nand PHY</v>
      </c>
      <c r="D27" s="120" t="str">
        <f>[22]Summary!$C$7</f>
        <v>이종용 선임</v>
      </c>
      <c r="E27" s="121" t="str">
        <f>[22]Summary!$D$7</f>
        <v>이종용 선임</v>
      </c>
      <c r="F27" s="41"/>
      <c r="G27" s="122">
        <f>[22]Summary!$E$7</f>
        <v>0</v>
      </c>
      <c r="H27" s="122">
        <f>[22]Summary!$F$7</f>
        <v>0</v>
      </c>
      <c r="I27" s="122">
        <f>[22]Summary!$G$7</f>
        <v>0</v>
      </c>
      <c r="J27" s="122">
        <f>[22]Summary!$H$7</f>
        <v>0</v>
      </c>
      <c r="K27" s="122">
        <f>[22]Summary!$I$7</f>
        <v>0</v>
      </c>
      <c r="L27" s="123">
        <f>[22]Summary!$J$7</f>
        <v>0</v>
      </c>
      <c r="M27" s="124" t="str">
        <f>[22]Summary!$K$7</f>
        <v>-</v>
      </c>
      <c r="N27" s="124">
        <f>[22]Summary!$L$7</f>
        <v>0</v>
      </c>
      <c r="O27" s="124">
        <f>[22]Summary!$M$7</f>
        <v>0</v>
      </c>
      <c r="P27" s="125" t="str">
        <f>[22]Summary!$N$7</f>
        <v>-</v>
      </c>
      <c r="Q27" s="41"/>
      <c r="R27" s="122">
        <f>[22]Summary!$O$7</f>
        <v>0</v>
      </c>
      <c r="S27" s="123">
        <f>[22]Summary!$P$7</f>
        <v>0</v>
      </c>
      <c r="T27" s="124" t="str">
        <f>[22]Summary!$Q$7</f>
        <v>-</v>
      </c>
      <c r="U27" s="125" t="str">
        <f>[22]Summary!$R$7</f>
        <v>-</v>
      </c>
      <c r="V27" s="41"/>
      <c r="W27" s="122">
        <f>[22]Summary!$S$7</f>
        <v>0</v>
      </c>
      <c r="X27" s="123">
        <f>[22]Summary!$T$7</f>
        <v>0</v>
      </c>
      <c r="Y27" s="124" t="str">
        <f>[22]Summary!$U$7</f>
        <v>-</v>
      </c>
      <c r="Z27" s="125" t="str">
        <f>[22]Summary!$V$7</f>
        <v>-</v>
      </c>
      <c r="AA27" s="42"/>
      <c r="AB27" s="126">
        <f>[22]Summary!$W$7</f>
        <v>0</v>
      </c>
      <c r="AC27" s="123">
        <f>[22]Summary!$X$7</f>
        <v>0</v>
      </c>
      <c r="AD27" s="124" t="str">
        <f>[22]Summary!$Y$7</f>
        <v>-</v>
      </c>
      <c r="AE27" s="127" t="str">
        <f>[22]Summary!$Z$7</f>
        <v>-</v>
      </c>
      <c r="AF27" s="69"/>
      <c r="AG27" s="128">
        <f>[22]Summary!$AA$7</f>
        <v>42138</v>
      </c>
      <c r="AH27" s="120" t="str">
        <f>[22]Summary!$AB$7</f>
        <v>?</v>
      </c>
      <c r="AI27" s="120" t="str">
        <f>[22]Summary!$AC$7</f>
        <v>?</v>
      </c>
      <c r="AJ27" s="120" t="str">
        <f>[22]Summary!$AD$7</f>
        <v>?</v>
      </c>
      <c r="AK27" s="129" t="str">
        <f>[22]Summary!$AE$7</f>
        <v xml:space="preserve">RTL:
POST:
FPGA: </v>
      </c>
    </row>
    <row r="28" spans="2:37" s="34" customFormat="1" x14ac:dyDescent="0.3">
      <c r="B28" s="15">
        <v>23</v>
      </c>
      <c r="C28" s="15" t="str">
        <f>[23]Summary!$B$7</f>
        <v>Nand IO</v>
      </c>
      <c r="D28" s="15" t="str">
        <f>[23]Summary!$C$7</f>
        <v>이종용 선임</v>
      </c>
      <c r="E28" s="36" t="str">
        <f>[23]Summary!$D$7</f>
        <v>이종용 선임</v>
      </c>
      <c r="F28" s="41"/>
      <c r="G28" s="50">
        <f>[23]Summary!$E$7</f>
        <v>0</v>
      </c>
      <c r="H28" s="50">
        <f>[23]Summary!$F$7</f>
        <v>0</v>
      </c>
      <c r="I28" s="50">
        <f>[23]Summary!$G$7</f>
        <v>0</v>
      </c>
      <c r="J28" s="50">
        <f>[23]Summary!$H$7</f>
        <v>0</v>
      </c>
      <c r="K28" s="50">
        <f>[23]Summary!$I$7</f>
        <v>0</v>
      </c>
      <c r="L28" s="16">
        <f>[23]Summary!$J$7</f>
        <v>0</v>
      </c>
      <c r="M28" s="17" t="str">
        <f>[23]Summary!$K$7</f>
        <v>-</v>
      </c>
      <c r="N28" s="17">
        <f>[23]Summary!$L$7</f>
        <v>0</v>
      </c>
      <c r="O28" s="17">
        <f>[23]Summary!$M$7</f>
        <v>0</v>
      </c>
      <c r="P28" s="112" t="str">
        <f>[23]Summary!$N$7</f>
        <v>-</v>
      </c>
      <c r="Q28" s="41"/>
      <c r="R28" s="50">
        <f>[23]Summary!$O$7</f>
        <v>0</v>
      </c>
      <c r="S28" s="16">
        <f>[23]Summary!$P$7</f>
        <v>0</v>
      </c>
      <c r="T28" s="17" t="str">
        <f>[23]Summary!$Q$7</f>
        <v>-</v>
      </c>
      <c r="U28" s="112" t="str">
        <f>[23]Summary!$R$7</f>
        <v>-</v>
      </c>
      <c r="V28" s="41"/>
      <c r="W28" s="50">
        <f>[23]Summary!$S$7</f>
        <v>0</v>
      </c>
      <c r="X28" s="16">
        <f>[23]Summary!$T$7</f>
        <v>0</v>
      </c>
      <c r="Y28" s="17" t="str">
        <f>[23]Summary!$U$7</f>
        <v>-</v>
      </c>
      <c r="Z28" s="112" t="str">
        <f>[23]Summary!$V$7</f>
        <v>-</v>
      </c>
      <c r="AA28" s="42"/>
      <c r="AB28" s="89">
        <f>[23]Summary!$W$7</f>
        <v>0</v>
      </c>
      <c r="AC28" s="16">
        <f>[23]Summary!$X$7</f>
        <v>0</v>
      </c>
      <c r="AD28" s="17" t="str">
        <f>[23]Summary!$Y$7</f>
        <v>-</v>
      </c>
      <c r="AE28" s="113" t="str">
        <f>[23]Summary!$Z$7</f>
        <v>-</v>
      </c>
      <c r="AF28" s="69"/>
      <c r="AG28" s="38">
        <f>[23]Summary!$AA$7</f>
        <v>42138</v>
      </c>
      <c r="AH28" s="15" t="str">
        <f>[23]Summary!$AB$7</f>
        <v>?</v>
      </c>
      <c r="AI28" s="15" t="str">
        <f>[23]Summary!$AC$7</f>
        <v>?</v>
      </c>
      <c r="AJ28" s="15" t="str">
        <f>[23]Summary!$AD$7</f>
        <v>?</v>
      </c>
      <c r="AK28" s="18" t="str">
        <f>[23]Summary!$AE$7</f>
        <v xml:space="preserve">RTL:
POST:
FPGA: </v>
      </c>
    </row>
    <row r="29" spans="2:37" s="34" customFormat="1" x14ac:dyDescent="0.3">
      <c r="B29" s="120">
        <v>24</v>
      </c>
      <c r="C29" s="120" t="str">
        <f>[24]Summary!$B$7</f>
        <v>I/O Mux</v>
      </c>
      <c r="D29" s="120" t="str">
        <f>[24]Summary!$C$7</f>
        <v>양창호 선임</v>
      </c>
      <c r="E29" s="121" t="str">
        <f>[24]Summary!$D$7</f>
        <v>양창호 선임</v>
      </c>
      <c r="F29" s="41"/>
      <c r="G29" s="122">
        <f>[24]Summary!$E$7</f>
        <v>0</v>
      </c>
      <c r="H29" s="122">
        <f>[24]Summary!$F$7</f>
        <v>0</v>
      </c>
      <c r="I29" s="122">
        <f>[24]Summary!$G$7</f>
        <v>0</v>
      </c>
      <c r="J29" s="122">
        <f>[24]Summary!$H$7</f>
        <v>0</v>
      </c>
      <c r="K29" s="122">
        <f>[24]Summary!$I$7</f>
        <v>0</v>
      </c>
      <c r="L29" s="123">
        <f>[24]Summary!$J$7</f>
        <v>0</v>
      </c>
      <c r="M29" s="124" t="str">
        <f>[24]Summary!$K$7</f>
        <v>-</v>
      </c>
      <c r="N29" s="124">
        <f>[24]Summary!$L$7</f>
        <v>0</v>
      </c>
      <c r="O29" s="124">
        <f>[24]Summary!$M$7</f>
        <v>0</v>
      </c>
      <c r="P29" s="125" t="str">
        <f>[24]Summary!$N$7</f>
        <v>-</v>
      </c>
      <c r="Q29" s="41"/>
      <c r="R29" s="122">
        <f>[24]Summary!$O$7</f>
        <v>0</v>
      </c>
      <c r="S29" s="123">
        <f>[24]Summary!$P$7</f>
        <v>0</v>
      </c>
      <c r="T29" s="124" t="str">
        <f>[24]Summary!$Q$7</f>
        <v>-</v>
      </c>
      <c r="U29" s="125" t="str">
        <f>[24]Summary!$R$7</f>
        <v>-</v>
      </c>
      <c r="V29" s="41"/>
      <c r="W29" s="122">
        <f>[24]Summary!$S$7</f>
        <v>0</v>
      </c>
      <c r="X29" s="123">
        <f>[24]Summary!$T$7</f>
        <v>0</v>
      </c>
      <c r="Y29" s="124" t="str">
        <f>[24]Summary!$U$7</f>
        <v>-</v>
      </c>
      <c r="Z29" s="125" t="str">
        <f>[24]Summary!$V$7</f>
        <v>-</v>
      </c>
      <c r="AA29" s="42"/>
      <c r="AB29" s="126">
        <f>[24]Summary!$W$7</f>
        <v>0</v>
      </c>
      <c r="AC29" s="123">
        <f>[24]Summary!$X$7</f>
        <v>0</v>
      </c>
      <c r="AD29" s="124" t="str">
        <f>[24]Summary!$Y$7</f>
        <v>-</v>
      </c>
      <c r="AE29" s="127" t="str">
        <f>[24]Summary!$Z$7</f>
        <v>-</v>
      </c>
      <c r="AF29" s="69"/>
      <c r="AG29" s="128">
        <f>[24]Summary!$AA$7</f>
        <v>42164</v>
      </c>
      <c r="AH29" s="120" t="str">
        <f>[24]Summary!$AB$7</f>
        <v>?</v>
      </c>
      <c r="AI29" s="120" t="str">
        <f>[24]Summary!$AC$7</f>
        <v>?</v>
      </c>
      <c r="AJ29" s="120" t="str">
        <f>[24]Summary!$AD$7</f>
        <v>?</v>
      </c>
      <c r="AK29" s="129" t="str">
        <f>[24]Summary!$AE$7</f>
        <v xml:space="preserve">RTL:
POST:
FPGA: </v>
      </c>
    </row>
    <row r="30" spans="2:37" s="34" customFormat="1" x14ac:dyDescent="0.3">
      <c r="B30" s="15">
        <v>25</v>
      </c>
      <c r="C30" s="15" t="str">
        <f>[25]Summary!$B$7</f>
        <v>HW Bypass</v>
      </c>
      <c r="D30" s="15" t="str">
        <f>[25]Summary!$C$7</f>
        <v>양창호 선임</v>
      </c>
      <c r="E30" s="36" t="str">
        <f>[25]Summary!$D$7</f>
        <v>양창호 선임</v>
      </c>
      <c r="F30" s="41"/>
      <c r="G30" s="50">
        <f>[25]Summary!$E$7</f>
        <v>0</v>
      </c>
      <c r="H30" s="50">
        <f>[25]Summary!$F$7</f>
        <v>0</v>
      </c>
      <c r="I30" s="50">
        <f>[25]Summary!$G$7</f>
        <v>0</v>
      </c>
      <c r="J30" s="50">
        <f>[25]Summary!$H$7</f>
        <v>0</v>
      </c>
      <c r="K30" s="50">
        <f>[25]Summary!$I$7</f>
        <v>0</v>
      </c>
      <c r="L30" s="16">
        <f>[25]Summary!$J$7</f>
        <v>0</v>
      </c>
      <c r="M30" s="17" t="str">
        <f>[25]Summary!$K$7</f>
        <v>-</v>
      </c>
      <c r="N30" s="17">
        <f>[25]Summary!$L$7</f>
        <v>0</v>
      </c>
      <c r="O30" s="17">
        <f>[25]Summary!$M$7</f>
        <v>0</v>
      </c>
      <c r="P30" s="112" t="str">
        <f>[25]Summary!$N$7</f>
        <v>-</v>
      </c>
      <c r="Q30" s="41"/>
      <c r="R30" s="50">
        <f>[25]Summary!$O$7</f>
        <v>0</v>
      </c>
      <c r="S30" s="16">
        <f>[25]Summary!$P$7</f>
        <v>0</v>
      </c>
      <c r="T30" s="17" t="str">
        <f>[25]Summary!$Q$7</f>
        <v>-</v>
      </c>
      <c r="U30" s="112" t="str">
        <f>[25]Summary!$R$7</f>
        <v>-</v>
      </c>
      <c r="V30" s="41"/>
      <c r="W30" s="50">
        <f>[25]Summary!$S$7</f>
        <v>0</v>
      </c>
      <c r="X30" s="16">
        <f>[25]Summary!$T$7</f>
        <v>0</v>
      </c>
      <c r="Y30" s="17" t="str">
        <f>[25]Summary!$U$7</f>
        <v>-</v>
      </c>
      <c r="Z30" s="112" t="str">
        <f>[25]Summary!$V$7</f>
        <v>-</v>
      </c>
      <c r="AA30" s="42"/>
      <c r="AB30" s="89">
        <f>[25]Summary!$W$7</f>
        <v>0</v>
      </c>
      <c r="AC30" s="16">
        <f>[25]Summary!$X$7</f>
        <v>0</v>
      </c>
      <c r="AD30" s="17" t="str">
        <f>[25]Summary!$Y$7</f>
        <v>-</v>
      </c>
      <c r="AE30" s="113" t="str">
        <f>[25]Summary!$Z$7</f>
        <v>-</v>
      </c>
      <c r="AF30" s="69"/>
      <c r="AG30" s="38">
        <f>[25]Summary!$AA$7</f>
        <v>42138</v>
      </c>
      <c r="AH30" s="15" t="str">
        <f>[25]Summary!$AB$7</f>
        <v>?</v>
      </c>
      <c r="AI30" s="15" t="str">
        <f>[25]Summary!$AC$7</f>
        <v>?</v>
      </c>
      <c r="AJ30" s="15" t="str">
        <f>[25]Summary!$AD$7</f>
        <v>?</v>
      </c>
      <c r="AK30" s="18" t="str">
        <f>[25]Summary!$AE$7</f>
        <v xml:space="preserve">RTL:
POST:
FPGA: </v>
      </c>
    </row>
    <row r="31" spans="2:37" s="34" customFormat="1" x14ac:dyDescent="0.3">
      <c r="B31" s="59" t="s">
        <v>32</v>
      </c>
      <c r="C31" s="59" t="str">
        <f>[26]Summary!$B$7</f>
        <v>End to End</v>
      </c>
      <c r="D31" s="59" t="str">
        <f>[26]Summary!$C$7</f>
        <v>ALL</v>
      </c>
      <c r="E31" s="60" t="str">
        <f>[26]Summary!$D$7</f>
        <v>조성엽 책임</v>
      </c>
      <c r="F31" s="41"/>
      <c r="G31" s="61">
        <f>[26]Summary!$E$7</f>
        <v>0</v>
      </c>
      <c r="H31" s="61">
        <f>[26]Summary!$F$7</f>
        <v>0</v>
      </c>
      <c r="I31" s="61">
        <f>[26]Summary!$G$7</f>
        <v>0</v>
      </c>
      <c r="J31" s="61">
        <f>[26]Summary!$H$7</f>
        <v>0</v>
      </c>
      <c r="K31" s="61">
        <f>[26]Summary!$I$7</f>
        <v>0</v>
      </c>
      <c r="L31" s="62">
        <f>[26]Summary!$J$7</f>
        <v>0</v>
      </c>
      <c r="M31" s="63" t="str">
        <f>[26]Summary!$K$7</f>
        <v>-</v>
      </c>
      <c r="N31" s="63">
        <f>[26]Summary!$L$7</f>
        <v>0</v>
      </c>
      <c r="O31" s="63">
        <f>[26]Summary!$M$7</f>
        <v>0</v>
      </c>
      <c r="P31" s="60" t="str">
        <f>[26]Summary!$N$7</f>
        <v>-</v>
      </c>
      <c r="Q31" s="41"/>
      <c r="R31" s="61">
        <f>[26]Summary!$O$7</f>
        <v>0</v>
      </c>
      <c r="S31" s="62">
        <f>[26]Summary!$P$7</f>
        <v>0</v>
      </c>
      <c r="T31" s="63" t="str">
        <f>[26]Summary!$Q$7</f>
        <v>-</v>
      </c>
      <c r="U31" s="60" t="str">
        <f>[26]Summary!$R$7</f>
        <v>-</v>
      </c>
      <c r="V31" s="41"/>
      <c r="W31" s="61">
        <f>[26]Summary!$S$7</f>
        <v>0</v>
      </c>
      <c r="X31" s="62">
        <f>[26]Summary!$T$7</f>
        <v>0</v>
      </c>
      <c r="Y31" s="63" t="str">
        <f>[26]Summary!$U$7</f>
        <v>-</v>
      </c>
      <c r="Z31" s="60" t="str">
        <f>[26]Summary!$V$7</f>
        <v>-</v>
      </c>
      <c r="AA31" s="42"/>
      <c r="AB31" s="90">
        <f>[26]Summary!$W$7</f>
        <v>0</v>
      </c>
      <c r="AC31" s="62">
        <f>[26]Summary!$X$7</f>
        <v>0</v>
      </c>
      <c r="AD31" s="63" t="str">
        <f>[26]Summary!$Y$7</f>
        <v>-</v>
      </c>
      <c r="AE31" s="91" t="str">
        <f>[26]Summary!$Z$7</f>
        <v>-</v>
      </c>
      <c r="AF31" s="69"/>
      <c r="AG31" s="87">
        <f>[26]Summary!$AA$7</f>
        <v>42138</v>
      </c>
      <c r="AH31" s="59" t="str">
        <f>[26]Summary!$AB$7</f>
        <v>?</v>
      </c>
      <c r="AI31" s="59" t="str">
        <f>[26]Summary!$AC$7</f>
        <v>?</v>
      </c>
      <c r="AJ31" s="59" t="str">
        <f>[26]Summary!$AD$7</f>
        <v>?</v>
      </c>
      <c r="AK31" s="88" t="str">
        <f>[26]Summary!$AE$7</f>
        <v xml:space="preserve">RTL:
POST:
FPGA: </v>
      </c>
    </row>
    <row r="32" spans="2:37" s="34" customFormat="1" x14ac:dyDescent="0.3">
      <c r="B32" s="59" t="s">
        <v>32</v>
      </c>
      <c r="C32" s="59" t="str">
        <f>[27]Summary!$B$7</f>
        <v>Post-Silicon Validation</v>
      </c>
      <c r="D32" s="59" t="str">
        <f>[27]Summary!$C$7</f>
        <v>ALL</v>
      </c>
      <c r="E32" s="60" t="str">
        <f>[27]Summary!$D$7</f>
        <v>ALL</v>
      </c>
      <c r="F32" s="41"/>
      <c r="G32" s="61"/>
      <c r="H32" s="61"/>
      <c r="I32" s="61"/>
      <c r="J32" s="61"/>
      <c r="K32" s="61"/>
      <c r="L32" s="62"/>
      <c r="M32" s="63"/>
      <c r="N32" s="63"/>
      <c r="O32" s="63"/>
      <c r="P32" s="60"/>
      <c r="Q32" s="41"/>
      <c r="R32" s="61"/>
      <c r="S32" s="62"/>
      <c r="T32" s="63"/>
      <c r="U32" s="60"/>
      <c r="V32" s="41"/>
      <c r="W32" s="61"/>
      <c r="X32" s="62"/>
      <c r="Y32" s="63"/>
      <c r="Z32" s="60"/>
      <c r="AA32" s="42"/>
      <c r="AB32" s="90"/>
      <c r="AC32" s="62"/>
      <c r="AD32" s="63"/>
      <c r="AE32" s="91"/>
      <c r="AF32" s="69"/>
      <c r="AG32" s="87"/>
      <c r="AH32" s="59"/>
      <c r="AI32" s="59"/>
      <c r="AJ32" s="59"/>
      <c r="AK32" s="88"/>
    </row>
    <row r="33" spans="2:37" s="34" customFormat="1" x14ac:dyDescent="0.3">
      <c r="B33" s="145" t="s">
        <v>14</v>
      </c>
      <c r="C33" s="145"/>
      <c r="D33" s="155"/>
      <c r="E33" s="156"/>
      <c r="F33" s="71"/>
      <c r="G33" s="56">
        <f t="shared" ref="G33:L33" si="0">AVERAGE(G6:G31)</f>
        <v>26.384615384615383</v>
      </c>
      <c r="H33" s="56">
        <f t="shared" si="0"/>
        <v>13.115384615384615</v>
      </c>
      <c r="I33" s="56">
        <f t="shared" si="0"/>
        <v>11</v>
      </c>
      <c r="J33" s="56">
        <f t="shared" si="0"/>
        <v>0.15384615384615385</v>
      </c>
      <c r="K33" s="56">
        <f t="shared" si="0"/>
        <v>18.76923076923077</v>
      </c>
      <c r="L33" s="9">
        <f t="shared" si="0"/>
        <v>0</v>
      </c>
      <c r="M33" s="10" t="s">
        <v>54</v>
      </c>
      <c r="N33" s="11">
        <f>AVERAGE(N7:N31)</f>
        <v>0</v>
      </c>
      <c r="O33" s="11">
        <f>AVERAGE(O6:O31)</f>
        <v>0</v>
      </c>
      <c r="P33" s="37"/>
      <c r="Q33" s="41"/>
      <c r="R33" s="56">
        <f>AVERAGE(R6:R31)</f>
        <v>16.692307692307693</v>
      </c>
      <c r="S33" s="9">
        <f>AVERAGE(S6:S31)</f>
        <v>0.40384615384615385</v>
      </c>
      <c r="T33" s="10" t="s">
        <v>13</v>
      </c>
      <c r="U33" s="37"/>
      <c r="V33" s="41"/>
      <c r="W33" s="56">
        <f>AVERAGE(W6:W31)</f>
        <v>7.384615384615385</v>
      </c>
      <c r="X33" s="9">
        <f>AVERAGE(X6:X31)</f>
        <v>0</v>
      </c>
      <c r="Y33" s="10" t="s">
        <v>13</v>
      </c>
      <c r="Z33" s="37"/>
      <c r="AA33" s="42"/>
      <c r="AB33" s="92">
        <f>AVERAGE(AB6:AB31)</f>
        <v>18</v>
      </c>
      <c r="AC33" s="9">
        <f>AVERAGE(AC6:AC31)</f>
        <v>0</v>
      </c>
      <c r="AD33" s="10" t="s">
        <v>13</v>
      </c>
      <c r="AE33" s="93"/>
      <c r="AF33" s="12"/>
      <c r="AG33" s="3"/>
      <c r="AH33" s="7"/>
      <c r="AI33" s="7"/>
      <c r="AJ33" s="7"/>
      <c r="AK33" s="8"/>
    </row>
    <row r="34" spans="2:37" x14ac:dyDescent="0.3">
      <c r="B34" s="145" t="s">
        <v>33</v>
      </c>
      <c r="C34" s="145"/>
      <c r="D34" s="141"/>
      <c r="E34" s="142"/>
      <c r="F34" s="71"/>
      <c r="G34" s="49">
        <f t="shared" ref="G34:L34" si="1">SUM(G6:G31)</f>
        <v>686</v>
      </c>
      <c r="H34" s="49">
        <f t="shared" si="1"/>
        <v>341</v>
      </c>
      <c r="I34" s="49">
        <f t="shared" si="1"/>
        <v>286</v>
      </c>
      <c r="J34" s="49">
        <f t="shared" si="1"/>
        <v>4</v>
      </c>
      <c r="K34" s="49">
        <f t="shared" si="1"/>
        <v>488</v>
      </c>
      <c r="L34" s="73">
        <f t="shared" si="1"/>
        <v>0</v>
      </c>
      <c r="M34" s="109">
        <f>AVERAGE(M6:M31)</f>
        <v>0.27851465003562442</v>
      </c>
      <c r="N34" s="70" t="s">
        <v>13</v>
      </c>
      <c r="O34" s="70" t="s">
        <v>13</v>
      </c>
      <c r="P34" s="64"/>
      <c r="Q34" s="41"/>
      <c r="R34" s="72">
        <f>SUM(R6:R31)</f>
        <v>434</v>
      </c>
      <c r="S34" s="76">
        <f>SUM(S6:S31)</f>
        <v>10.5</v>
      </c>
      <c r="T34" s="110">
        <f>IF(R34=0, "-", S34/R34)</f>
        <v>2.4193548387096774E-2</v>
      </c>
      <c r="U34" s="37"/>
      <c r="V34" s="41"/>
      <c r="W34" s="95">
        <f>SUM(W6:W31)</f>
        <v>192</v>
      </c>
      <c r="X34" s="96">
        <f>SUM(X6:X31)</f>
        <v>0</v>
      </c>
      <c r="Y34" s="97">
        <f>IF(W34=0, "-", X34/W34)</f>
        <v>0</v>
      </c>
      <c r="Z34" s="98"/>
      <c r="AA34" s="99"/>
      <c r="AB34" s="100">
        <f>SUM(AB6:AB31)</f>
        <v>468</v>
      </c>
      <c r="AC34" s="101">
        <f>SUM(AC6:AC31)</f>
        <v>0</v>
      </c>
      <c r="AD34" s="102">
        <f>IF(AB34=0, "-", AC34/AB34)</f>
        <v>0</v>
      </c>
      <c r="AE34" s="94"/>
    </row>
    <row r="35" spans="2:37" x14ac:dyDescent="0.3">
      <c r="B35" s="146" t="s">
        <v>53</v>
      </c>
      <c r="C35" s="146"/>
      <c r="D35" s="143"/>
      <c r="E35" s="144"/>
      <c r="F35" s="114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9"/>
      <c r="R35" s="74">
        <f>G34+I34+K34</f>
        <v>1460</v>
      </c>
      <c r="S35" s="75">
        <f>H34+J34+L34+S34</f>
        <v>355.5</v>
      </c>
      <c r="T35" s="111">
        <f>IF(R35=0, "-", S35/R35)</f>
        <v>0.24349315068493152</v>
      </c>
      <c r="U35" s="37"/>
      <c r="V35" s="42"/>
      <c r="W35" s="65"/>
      <c r="X35" s="66"/>
      <c r="Y35" s="67"/>
      <c r="Z35" s="68"/>
      <c r="AA35" s="12"/>
      <c r="AB35" s="78"/>
      <c r="AC35" s="83"/>
      <c r="AD35" s="84"/>
      <c r="AE35" s="35"/>
    </row>
    <row r="36" spans="2:37" x14ac:dyDescent="0.3">
      <c r="AB36" s="8"/>
      <c r="AC36" s="8"/>
      <c r="AD36" s="8"/>
      <c r="AE36" s="8"/>
    </row>
    <row r="37" spans="2:37" x14ac:dyDescent="0.3">
      <c r="AB37" s="8"/>
      <c r="AC37" s="8"/>
      <c r="AD37" s="8"/>
      <c r="AE37" s="8"/>
      <c r="AG37" s="54">
        <v>1</v>
      </c>
      <c r="AH37" s="55"/>
    </row>
    <row r="38" spans="2:37" x14ac:dyDescent="0.3">
      <c r="AG38" s="52">
        <v>0.9</v>
      </c>
      <c r="AH38" s="51"/>
    </row>
    <row r="39" spans="2:37" x14ac:dyDescent="0.3">
      <c r="AG39" s="52">
        <v>0.7</v>
      </c>
      <c r="AH39" s="52"/>
    </row>
    <row r="40" spans="2:37" x14ac:dyDescent="0.3">
      <c r="AG40" s="52">
        <v>0.5</v>
      </c>
      <c r="AH40" s="52"/>
    </row>
    <row r="41" spans="2:37" x14ac:dyDescent="0.3">
      <c r="AG41" s="53">
        <v>0</v>
      </c>
      <c r="AH41" s="52"/>
    </row>
    <row r="44" spans="2:37" x14ac:dyDescent="0.3">
      <c r="AH44" s="86"/>
      <c r="AI44" s="57"/>
    </row>
  </sheetData>
  <mergeCells count="40">
    <mergeCell ref="AI2:AK2"/>
    <mergeCell ref="AB3:AE3"/>
    <mergeCell ref="AK3:AK5"/>
    <mergeCell ref="B2:AG2"/>
    <mergeCell ref="B33:C33"/>
    <mergeCell ref="D33:E33"/>
    <mergeCell ref="W3:Z3"/>
    <mergeCell ref="R3:U3"/>
    <mergeCell ref="G3:P3"/>
    <mergeCell ref="E3:E5"/>
    <mergeCell ref="D3:D5"/>
    <mergeCell ref="AG3:AJ3"/>
    <mergeCell ref="B3:B5"/>
    <mergeCell ref="C3:C5"/>
    <mergeCell ref="G4:H4"/>
    <mergeCell ref="I4:J4"/>
    <mergeCell ref="D34:E34"/>
    <mergeCell ref="D35:E35"/>
    <mergeCell ref="B34:C34"/>
    <mergeCell ref="B35:C35"/>
    <mergeCell ref="K4:L4"/>
    <mergeCell ref="N4:N5"/>
    <mergeCell ref="O4:O5"/>
    <mergeCell ref="P4:P5"/>
    <mergeCell ref="R4:R5"/>
    <mergeCell ref="S4:S5"/>
    <mergeCell ref="T4:T5"/>
    <mergeCell ref="U4:U5"/>
    <mergeCell ref="W4:W5"/>
    <mergeCell ref="X4:X5"/>
    <mergeCell ref="Y4:Y5"/>
    <mergeCell ref="AG4:AG5"/>
    <mergeCell ref="AH4:AH5"/>
    <mergeCell ref="AI4:AI5"/>
    <mergeCell ref="AJ4:AJ5"/>
    <mergeCell ref="Z4:Z5"/>
    <mergeCell ref="AB4:AB5"/>
    <mergeCell ref="AC4:AC5"/>
    <mergeCell ref="AD4:AD5"/>
    <mergeCell ref="AE4:AE5"/>
  </mergeCells>
  <phoneticPr fontId="1" type="noConversion"/>
  <conditionalFormatting sqref="AG37:AG41 T6:T32 M6:O32 Y6:Y32 AD6:AD32">
    <cfRule type="iconSet" priority="17">
      <iconSet iconSet="4TrafficLights">
        <cfvo type="percent" val="0"/>
        <cfvo type="percent" val="50"/>
        <cfvo type="percent" val="70"/>
        <cfvo type="percent" val="90"/>
      </iconSet>
    </cfRule>
  </conditionalFormatting>
  <conditionalFormatting sqref="G6:K32">
    <cfRule type="dataBar" priority="1218">
      <dataBar>
        <cfvo type="min"/>
        <cfvo type="max"/>
        <color rgb="FF63C384"/>
      </dataBar>
    </cfRule>
  </conditionalFormatting>
  <conditionalFormatting sqref="L6:L32">
    <cfRule type="dataBar" priority="1220">
      <dataBar>
        <cfvo type="min"/>
        <cfvo type="max"/>
        <color rgb="FF63C384"/>
      </dataBar>
    </cfRule>
  </conditionalFormatting>
  <conditionalFormatting sqref="R6:S32">
    <cfRule type="dataBar" priority="1222">
      <dataBar>
        <cfvo type="min"/>
        <cfvo type="max"/>
        <color rgb="FF63C384"/>
      </dataBar>
    </cfRule>
  </conditionalFormatting>
  <conditionalFormatting sqref="AB6:AC32 W6:X32">
    <cfRule type="dataBar" priority="1224">
      <dataBar>
        <cfvo type="min"/>
        <cfvo type="max"/>
        <color rgb="FF63C384"/>
      </dataBar>
    </cfRule>
  </conditionalFormatting>
  <conditionalFormatting sqref="AG6:AG31">
    <cfRule type="colorScale" priority="1228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1" shapeId="3075" r:id="rId4">
          <objectPr defaultSize="0" autoPict="0" r:id="rId5">
            <anchor moveWithCells="1">
              <from>
                <xdr:col>37</xdr:col>
                <xdr:colOff>38100</xdr:colOff>
                <xdr:row>2</xdr:row>
                <xdr:rowOff>9525</xdr:rowOff>
              </from>
              <to>
                <xdr:col>38</xdr:col>
                <xdr:colOff>542925</xdr:colOff>
                <xdr:row>5</xdr:row>
                <xdr:rowOff>114300</xdr:rowOff>
              </to>
            </anchor>
          </objectPr>
        </oleObject>
      </mc:Choice>
      <mc:Fallback>
        <oleObject progId="Visio.Drawing.11" shapeId="307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B19"/>
  <sheetViews>
    <sheetView showGridLines="0" zoomScaleNormal="100" workbookViewId="0">
      <selection activeCell="AC22" sqref="AC22"/>
    </sheetView>
  </sheetViews>
  <sheetFormatPr defaultRowHeight="12" x14ac:dyDescent="0.3"/>
  <cols>
    <col min="1" max="1" width="3.125" style="2" customWidth="1"/>
    <col min="2" max="2" width="11.25" style="2" customWidth="1"/>
    <col min="3" max="3" width="5.75" style="2" bestFit="1" customWidth="1"/>
    <col min="4" max="7" width="5.75" style="2" customWidth="1"/>
    <col min="8" max="8" width="5.875" style="2" bestFit="1" customWidth="1"/>
    <col min="9" max="9" width="5.75" style="2" bestFit="1" customWidth="1"/>
    <col min="10" max="11" width="7.875" style="2" customWidth="1"/>
    <col min="12" max="12" width="5.25" style="2" bestFit="1" customWidth="1"/>
    <col min="13" max="13" width="1.25" style="115" customWidth="1"/>
    <col min="14" max="14" width="5.75" style="2" bestFit="1" customWidth="1"/>
    <col min="15" max="15" width="5.875" style="2" bestFit="1" customWidth="1"/>
    <col min="16" max="16" width="5.75" style="2" bestFit="1" customWidth="1"/>
    <col min="17" max="17" width="5.25" style="2" bestFit="1" customWidth="1"/>
    <col min="18" max="18" width="1.25" style="115" customWidth="1"/>
    <col min="19" max="19" width="5.75" style="2" bestFit="1" customWidth="1"/>
    <col min="20" max="20" width="5.875" style="2" bestFit="1" customWidth="1"/>
    <col min="21" max="21" width="6.75" style="2" bestFit="1" customWidth="1"/>
    <col min="22" max="22" width="5.25" style="2" bestFit="1" customWidth="1"/>
    <col min="23" max="23" width="1.25" style="115" customWidth="1"/>
    <col min="24" max="24" width="5.75" style="2" bestFit="1" customWidth="1"/>
    <col min="25" max="25" width="5.875" style="2" bestFit="1" customWidth="1"/>
    <col min="26" max="26" width="6.625" style="2" bestFit="1" customWidth="1"/>
    <col min="27" max="27" width="5.25" style="2" bestFit="1" customWidth="1"/>
    <col min="28" max="16384" width="9" style="2"/>
  </cols>
  <sheetData>
    <row r="2" spans="2:28" ht="20.25" x14ac:dyDescent="0.3">
      <c r="B2" s="1" t="s">
        <v>12</v>
      </c>
    </row>
    <row r="3" spans="2:28" ht="4.5" customHeight="1" x14ac:dyDescent="0.3"/>
    <row r="4" spans="2:28" ht="14.25" customHeight="1" x14ac:dyDescent="0.3">
      <c r="B4" s="160" t="s">
        <v>31</v>
      </c>
      <c r="C4" s="148" t="s">
        <v>15</v>
      </c>
      <c r="D4" s="148"/>
      <c r="E4" s="148"/>
      <c r="F4" s="148"/>
      <c r="G4" s="148"/>
      <c r="H4" s="153"/>
      <c r="I4" s="153"/>
      <c r="J4" s="153"/>
      <c r="K4" s="153"/>
      <c r="L4" s="147"/>
      <c r="M4" s="116"/>
      <c r="N4" s="153" t="s">
        <v>8</v>
      </c>
      <c r="O4" s="153"/>
      <c r="P4" s="153"/>
      <c r="Q4" s="153"/>
      <c r="R4" s="119"/>
      <c r="S4" s="153" t="s">
        <v>16</v>
      </c>
      <c r="T4" s="153"/>
      <c r="U4" s="153"/>
      <c r="V4" s="153"/>
      <c r="W4" s="119"/>
      <c r="X4" s="153" t="s">
        <v>17</v>
      </c>
      <c r="Y4" s="153"/>
      <c r="Z4" s="153"/>
      <c r="AA4" s="153"/>
    </row>
    <row r="5" spans="2:28" ht="14.25" customHeight="1" x14ac:dyDescent="0.3">
      <c r="B5" s="160"/>
      <c r="C5" s="147" t="s">
        <v>38</v>
      </c>
      <c r="D5" s="148"/>
      <c r="E5" s="147" t="s">
        <v>39</v>
      </c>
      <c r="F5" s="148"/>
      <c r="G5" s="147" t="s">
        <v>40</v>
      </c>
      <c r="H5" s="148"/>
      <c r="I5" s="104" t="s">
        <v>35</v>
      </c>
      <c r="J5" s="133" t="s">
        <v>19</v>
      </c>
      <c r="K5" s="133" t="s">
        <v>20</v>
      </c>
      <c r="L5" s="133" t="s">
        <v>6</v>
      </c>
      <c r="M5" s="117"/>
      <c r="N5" s="137" t="s">
        <v>0</v>
      </c>
      <c r="O5" s="137" t="s">
        <v>4</v>
      </c>
      <c r="P5" s="137" t="s">
        <v>18</v>
      </c>
      <c r="Q5" s="133" t="s">
        <v>6</v>
      </c>
      <c r="R5" s="117"/>
      <c r="S5" s="137" t="s">
        <v>0</v>
      </c>
      <c r="T5" s="137" t="s">
        <v>4</v>
      </c>
      <c r="U5" s="137" t="s">
        <v>18</v>
      </c>
      <c r="V5" s="133" t="s">
        <v>6</v>
      </c>
      <c r="W5" s="117"/>
      <c r="X5" s="137" t="s">
        <v>0</v>
      </c>
      <c r="Y5" s="137" t="s">
        <v>4</v>
      </c>
      <c r="Z5" s="137" t="s">
        <v>18</v>
      </c>
      <c r="AA5" s="133" t="s">
        <v>6</v>
      </c>
      <c r="AB5" s="131" t="s">
        <v>56</v>
      </c>
    </row>
    <row r="6" spans="2:28" x14ac:dyDescent="0.3">
      <c r="B6" s="160"/>
      <c r="C6" s="49" t="s">
        <v>0</v>
      </c>
      <c r="D6" s="104" t="s">
        <v>4</v>
      </c>
      <c r="E6" s="49" t="s">
        <v>0</v>
      </c>
      <c r="F6" s="104" t="s">
        <v>4</v>
      </c>
      <c r="G6" s="49" t="s">
        <v>0</v>
      </c>
      <c r="H6" s="104" t="s">
        <v>4</v>
      </c>
      <c r="I6" s="104" t="s">
        <v>18</v>
      </c>
      <c r="J6" s="134"/>
      <c r="K6" s="134"/>
      <c r="L6" s="134"/>
      <c r="M6" s="118"/>
      <c r="N6" s="138"/>
      <c r="O6" s="138"/>
      <c r="P6" s="138"/>
      <c r="Q6" s="134"/>
      <c r="R6" s="118"/>
      <c r="S6" s="138"/>
      <c r="T6" s="138"/>
      <c r="U6" s="138"/>
      <c r="V6" s="134"/>
      <c r="W6" s="118"/>
      <c r="X6" s="138"/>
      <c r="Y6" s="138"/>
      <c r="Z6" s="138"/>
      <c r="AA6" s="134"/>
      <c r="AB6" s="131" t="s">
        <v>57</v>
      </c>
    </row>
    <row r="7" spans="2:28" x14ac:dyDescent="0.3">
      <c r="B7" s="43">
        <v>42207</v>
      </c>
      <c r="C7" s="48">
        <v>166</v>
      </c>
      <c r="D7" s="48">
        <v>74</v>
      </c>
      <c r="E7" s="48">
        <v>63</v>
      </c>
      <c r="F7" s="48">
        <v>2</v>
      </c>
      <c r="G7" s="48">
        <v>81</v>
      </c>
      <c r="H7" s="44">
        <v>0</v>
      </c>
      <c r="I7" s="45">
        <v>0.26565923165830013</v>
      </c>
      <c r="J7" s="45" t="s">
        <v>55</v>
      </c>
      <c r="K7" s="45" t="s">
        <v>55</v>
      </c>
      <c r="L7" s="48"/>
      <c r="M7" s="48"/>
      <c r="N7" s="48">
        <v>95</v>
      </c>
      <c r="O7" s="44">
        <v>9.5</v>
      </c>
      <c r="P7" s="45">
        <v>0.1</v>
      </c>
      <c r="Q7" s="48"/>
      <c r="R7" s="48"/>
      <c r="S7" s="48">
        <v>34</v>
      </c>
      <c r="T7" s="44">
        <v>0</v>
      </c>
      <c r="U7" s="45">
        <v>0</v>
      </c>
      <c r="V7" s="44"/>
      <c r="W7" s="44"/>
      <c r="X7" s="48">
        <v>77</v>
      </c>
      <c r="Y7" s="44">
        <v>0</v>
      </c>
      <c r="Z7" s="45">
        <v>0</v>
      </c>
      <c r="AA7" s="48"/>
      <c r="AB7" s="130">
        <f>D7/C7</f>
        <v>0.44578313253012047</v>
      </c>
    </row>
    <row r="8" spans="2:28" x14ac:dyDescent="0.3">
      <c r="B8" s="43">
        <v>42214</v>
      </c>
      <c r="C8" s="48">
        <v>376</v>
      </c>
      <c r="D8" s="48">
        <v>263</v>
      </c>
      <c r="E8" s="48">
        <v>211</v>
      </c>
      <c r="F8" s="48">
        <v>2</v>
      </c>
      <c r="G8" s="48">
        <v>237</v>
      </c>
      <c r="H8" s="44">
        <v>0</v>
      </c>
      <c r="I8" s="45">
        <v>0.3177683776094406</v>
      </c>
      <c r="J8" s="45" t="s">
        <v>55</v>
      </c>
      <c r="K8" s="45" t="s">
        <v>55</v>
      </c>
      <c r="L8" s="48"/>
      <c r="M8" s="48"/>
      <c r="N8" s="48">
        <v>195</v>
      </c>
      <c r="O8" s="44">
        <v>9.5</v>
      </c>
      <c r="P8" s="45">
        <v>4.8717948717948718E-2</v>
      </c>
      <c r="Q8" s="48"/>
      <c r="R8" s="48"/>
      <c r="S8" s="48">
        <v>188</v>
      </c>
      <c r="T8" s="44">
        <v>0</v>
      </c>
      <c r="U8" s="45">
        <v>0</v>
      </c>
      <c r="V8" s="44"/>
      <c r="W8" s="44"/>
      <c r="X8" s="48">
        <v>231</v>
      </c>
      <c r="Y8" s="44">
        <v>0</v>
      </c>
      <c r="Z8" s="45">
        <v>0</v>
      </c>
      <c r="AA8" s="48"/>
      <c r="AB8" s="130">
        <f t="shared" ref="AB8:AB10" si="0">D8/C8</f>
        <v>0.69946808510638303</v>
      </c>
    </row>
    <row r="9" spans="2:28" x14ac:dyDescent="0.3">
      <c r="B9" s="43">
        <v>42221</v>
      </c>
      <c r="C9" s="48">
        <v>376</v>
      </c>
      <c r="D9" s="48">
        <v>263</v>
      </c>
      <c r="E9" s="48">
        <v>211</v>
      </c>
      <c r="F9" s="48">
        <v>3</v>
      </c>
      <c r="G9" s="48">
        <v>237</v>
      </c>
      <c r="H9" s="44">
        <v>0</v>
      </c>
      <c r="I9" s="45">
        <v>0.32113538097644395</v>
      </c>
      <c r="J9" s="45" t="s">
        <v>55</v>
      </c>
      <c r="K9" s="45" t="s">
        <v>55</v>
      </c>
      <c r="L9" s="48"/>
      <c r="M9" s="48"/>
      <c r="N9" s="48">
        <v>195</v>
      </c>
      <c r="O9" s="44">
        <v>10.5</v>
      </c>
      <c r="P9" s="45">
        <v>5.3846153846153849E-2</v>
      </c>
      <c r="Q9" s="48"/>
      <c r="R9" s="48"/>
      <c r="S9" s="48">
        <v>188</v>
      </c>
      <c r="T9" s="44">
        <v>0</v>
      </c>
      <c r="U9" s="45">
        <v>0</v>
      </c>
      <c r="V9" s="44"/>
      <c r="W9" s="44"/>
      <c r="X9" s="48">
        <v>231</v>
      </c>
      <c r="Y9" s="44">
        <v>0</v>
      </c>
      <c r="Z9" s="45">
        <v>0</v>
      </c>
      <c r="AA9" s="48"/>
      <c r="AB9" s="130">
        <f t="shared" si="0"/>
        <v>0.69946808510638303</v>
      </c>
    </row>
    <row r="10" spans="2:28" x14ac:dyDescent="0.3">
      <c r="B10" s="43">
        <v>42223</v>
      </c>
      <c r="C10" s="48">
        <v>686</v>
      </c>
      <c r="D10" s="48">
        <v>341</v>
      </c>
      <c r="E10" s="48">
        <v>286</v>
      </c>
      <c r="F10" s="48">
        <v>4</v>
      </c>
      <c r="G10" s="48">
        <v>488</v>
      </c>
      <c r="H10" s="44">
        <v>0</v>
      </c>
      <c r="I10" s="45">
        <v>0.27851465003562442</v>
      </c>
      <c r="J10" s="45" t="s">
        <v>55</v>
      </c>
      <c r="K10" s="45" t="s">
        <v>55</v>
      </c>
      <c r="L10" s="48"/>
      <c r="M10" s="48"/>
      <c r="N10" s="48">
        <v>434</v>
      </c>
      <c r="O10" s="44">
        <v>10.5</v>
      </c>
      <c r="P10" s="45">
        <v>2.4193548387096774E-2</v>
      </c>
      <c r="Q10" s="48"/>
      <c r="R10" s="48"/>
      <c r="S10" s="48">
        <v>192</v>
      </c>
      <c r="T10" s="44">
        <v>0</v>
      </c>
      <c r="U10" s="45">
        <v>0</v>
      </c>
      <c r="V10" s="44"/>
      <c r="W10" s="44"/>
      <c r="X10" s="48">
        <v>468</v>
      </c>
      <c r="Y10" s="44">
        <v>0</v>
      </c>
      <c r="Z10" s="45">
        <v>0</v>
      </c>
      <c r="AA10" s="48"/>
      <c r="AB10" s="130">
        <f t="shared" si="0"/>
        <v>0.49708454810495628</v>
      </c>
    </row>
    <row r="11" spans="2:28" x14ac:dyDescent="0.3">
      <c r="B11" s="43"/>
      <c r="C11" s="48"/>
      <c r="D11" s="48"/>
      <c r="E11" s="48"/>
      <c r="F11" s="48"/>
      <c r="G11" s="48"/>
      <c r="H11" s="44"/>
      <c r="I11" s="45"/>
      <c r="J11" s="45"/>
      <c r="K11" s="45"/>
      <c r="L11" s="48"/>
      <c r="M11" s="48"/>
      <c r="N11" s="48"/>
      <c r="O11" s="44"/>
      <c r="P11" s="45"/>
      <c r="Q11" s="48"/>
      <c r="R11" s="48"/>
      <c r="S11" s="48"/>
      <c r="T11" s="44"/>
      <c r="U11" s="45"/>
      <c r="V11" s="44"/>
      <c r="W11" s="44"/>
      <c r="X11" s="48"/>
      <c r="Y11" s="44"/>
      <c r="Z11" s="45"/>
      <c r="AA11" s="48"/>
      <c r="AB11" s="130"/>
    </row>
    <row r="12" spans="2:28" x14ac:dyDescent="0.3">
      <c r="B12" s="43"/>
      <c r="C12" s="48"/>
      <c r="D12" s="48"/>
      <c r="E12" s="48"/>
      <c r="F12" s="48"/>
      <c r="G12" s="48"/>
      <c r="H12" s="44"/>
      <c r="I12" s="45"/>
      <c r="J12" s="45"/>
      <c r="K12" s="45"/>
      <c r="L12" s="48"/>
      <c r="M12" s="48"/>
      <c r="N12" s="48"/>
      <c r="O12" s="44"/>
      <c r="P12" s="45"/>
      <c r="Q12" s="48"/>
      <c r="R12" s="48"/>
      <c r="S12" s="48"/>
      <c r="T12" s="44"/>
      <c r="U12" s="45"/>
      <c r="V12" s="44"/>
      <c r="W12" s="44"/>
      <c r="X12" s="48"/>
      <c r="Y12" s="44"/>
      <c r="Z12" s="45"/>
      <c r="AA12" s="48"/>
      <c r="AB12" s="130"/>
    </row>
    <row r="13" spans="2:28" x14ac:dyDescent="0.3">
      <c r="B13" s="43"/>
      <c r="C13" s="48"/>
      <c r="D13" s="48"/>
      <c r="E13" s="48"/>
      <c r="F13" s="48"/>
      <c r="G13" s="48"/>
      <c r="H13" s="44"/>
      <c r="I13" s="45"/>
      <c r="J13" s="45"/>
      <c r="K13" s="45"/>
      <c r="L13" s="48"/>
      <c r="M13" s="48"/>
      <c r="N13" s="48"/>
      <c r="O13" s="44"/>
      <c r="P13" s="45"/>
      <c r="Q13" s="48"/>
      <c r="R13" s="48"/>
      <c r="S13" s="48"/>
      <c r="T13" s="44"/>
      <c r="U13" s="45"/>
      <c r="V13" s="44"/>
      <c r="W13" s="44"/>
      <c r="X13" s="48"/>
      <c r="Y13" s="44"/>
      <c r="Z13" s="45"/>
      <c r="AA13" s="48"/>
      <c r="AB13" s="130"/>
    </row>
    <row r="14" spans="2:28" x14ac:dyDescent="0.3">
      <c r="B14" s="43"/>
      <c r="C14" s="48"/>
      <c r="D14" s="48"/>
      <c r="E14" s="48"/>
      <c r="F14" s="48"/>
      <c r="G14" s="48"/>
      <c r="H14" s="44"/>
      <c r="I14" s="45"/>
      <c r="J14" s="45"/>
      <c r="K14" s="45"/>
      <c r="L14" s="48"/>
      <c r="M14" s="48"/>
      <c r="N14" s="48"/>
      <c r="O14" s="44"/>
      <c r="P14" s="45"/>
      <c r="Q14" s="48"/>
      <c r="R14" s="48"/>
      <c r="S14" s="48"/>
      <c r="T14" s="44"/>
      <c r="U14" s="45"/>
      <c r="V14" s="44"/>
      <c r="W14" s="44"/>
      <c r="X14" s="48"/>
      <c r="Y14" s="44"/>
      <c r="Z14" s="45"/>
      <c r="AA14" s="48"/>
      <c r="AB14" s="130"/>
    </row>
    <row r="15" spans="2:28" x14ac:dyDescent="0.3">
      <c r="B15" s="43"/>
      <c r="C15" s="48"/>
      <c r="D15" s="48"/>
      <c r="E15" s="48"/>
      <c r="F15" s="48"/>
      <c r="G15" s="48"/>
      <c r="H15" s="44"/>
      <c r="I15" s="45"/>
      <c r="J15" s="45"/>
      <c r="K15" s="45"/>
      <c r="L15" s="48"/>
      <c r="M15" s="48"/>
      <c r="N15" s="48"/>
      <c r="O15" s="44"/>
      <c r="P15" s="45"/>
      <c r="Q15" s="48"/>
      <c r="R15" s="48"/>
      <c r="S15" s="48"/>
      <c r="T15" s="44"/>
      <c r="U15" s="45"/>
      <c r="V15" s="44"/>
      <c r="W15" s="44"/>
      <c r="X15" s="48"/>
      <c r="Y15" s="44"/>
      <c r="Z15" s="45"/>
      <c r="AA15" s="48"/>
      <c r="AB15" s="130"/>
    </row>
    <row r="16" spans="2:28" x14ac:dyDescent="0.3">
      <c r="B16" s="43"/>
      <c r="C16" s="48"/>
      <c r="D16" s="48"/>
      <c r="E16" s="48"/>
      <c r="F16" s="48"/>
      <c r="G16" s="48"/>
      <c r="H16" s="44"/>
      <c r="I16" s="45"/>
      <c r="J16" s="45"/>
      <c r="K16" s="45"/>
      <c r="L16" s="48"/>
      <c r="M16" s="48"/>
      <c r="N16" s="48"/>
      <c r="O16" s="44"/>
      <c r="P16" s="45"/>
      <c r="Q16" s="48"/>
      <c r="R16" s="48"/>
      <c r="S16" s="48"/>
      <c r="T16" s="44"/>
      <c r="U16" s="45"/>
      <c r="V16" s="44"/>
      <c r="W16" s="44"/>
      <c r="X16" s="48"/>
      <c r="Y16" s="44"/>
      <c r="Z16" s="45"/>
      <c r="AA16" s="48"/>
      <c r="AB16" s="130"/>
    </row>
    <row r="17" spans="2:28" x14ac:dyDescent="0.3">
      <c r="B17" s="43"/>
      <c r="C17" s="48"/>
      <c r="D17" s="48"/>
      <c r="E17" s="48"/>
      <c r="F17" s="48"/>
      <c r="G17" s="48"/>
      <c r="H17" s="44"/>
      <c r="I17" s="45"/>
      <c r="J17" s="45"/>
      <c r="K17" s="45"/>
      <c r="L17" s="48"/>
      <c r="M17" s="48"/>
      <c r="N17" s="48"/>
      <c r="O17" s="44"/>
      <c r="P17" s="45"/>
      <c r="Q17" s="48"/>
      <c r="R17" s="48"/>
      <c r="S17" s="48"/>
      <c r="T17" s="44"/>
      <c r="U17" s="45"/>
      <c r="V17" s="44"/>
      <c r="W17" s="44"/>
      <c r="X17" s="48"/>
      <c r="Y17" s="44"/>
      <c r="Z17" s="45"/>
      <c r="AA17" s="48"/>
      <c r="AB17" s="130"/>
    </row>
    <row r="18" spans="2:28" x14ac:dyDescent="0.3">
      <c r="B18" s="43"/>
      <c r="C18" s="48"/>
      <c r="D18" s="48"/>
      <c r="E18" s="48"/>
      <c r="F18" s="48"/>
      <c r="G18" s="48"/>
      <c r="H18" s="44"/>
      <c r="I18" s="45"/>
      <c r="J18" s="45"/>
      <c r="K18" s="45"/>
      <c r="L18" s="48"/>
      <c r="M18" s="48"/>
      <c r="N18" s="48"/>
      <c r="O18" s="44"/>
      <c r="P18" s="45"/>
      <c r="Q18" s="48"/>
      <c r="R18" s="48"/>
      <c r="S18" s="48"/>
      <c r="T18" s="44"/>
      <c r="U18" s="45"/>
      <c r="V18" s="44"/>
      <c r="W18" s="44"/>
      <c r="X18" s="48"/>
      <c r="Y18" s="44"/>
      <c r="Z18" s="45"/>
      <c r="AA18" s="48"/>
      <c r="AB18" s="130"/>
    </row>
    <row r="19" spans="2:28" x14ac:dyDescent="0.3">
      <c r="B19" s="43"/>
      <c r="C19" s="44"/>
      <c r="D19" s="44"/>
      <c r="E19" s="44"/>
      <c r="F19" s="44"/>
      <c r="G19" s="44"/>
      <c r="H19" s="44"/>
      <c r="I19" s="45"/>
      <c r="J19" s="45"/>
      <c r="K19" s="45"/>
      <c r="L19" s="44"/>
      <c r="M19" s="44"/>
      <c r="N19" s="44"/>
      <c r="O19" s="44"/>
      <c r="P19" s="45"/>
      <c r="Q19" s="44"/>
      <c r="R19" s="44"/>
      <c r="S19" s="44"/>
      <c r="T19" s="44"/>
      <c r="U19" s="45"/>
      <c r="V19" s="47"/>
      <c r="W19" s="47"/>
      <c r="X19" s="46"/>
      <c r="Y19" s="46"/>
      <c r="Z19" s="58"/>
      <c r="AA19" s="46"/>
      <c r="AB19" s="130"/>
    </row>
  </sheetData>
  <mergeCells count="23">
    <mergeCell ref="Z5:Z6"/>
    <mergeCell ref="AA5:AA6"/>
    <mergeCell ref="T5:T6"/>
    <mergeCell ref="U5:U6"/>
    <mergeCell ref="V5:V6"/>
    <mergeCell ref="X5:X6"/>
    <mergeCell ref="Y5:Y6"/>
    <mergeCell ref="C4:L4"/>
    <mergeCell ref="N4:Q4"/>
    <mergeCell ref="S4:V4"/>
    <mergeCell ref="X4:AA4"/>
    <mergeCell ref="B4:B6"/>
    <mergeCell ref="C5:D5"/>
    <mergeCell ref="E5:F5"/>
    <mergeCell ref="G5:H5"/>
    <mergeCell ref="J5:J6"/>
    <mergeCell ref="K5:K6"/>
    <mergeCell ref="L5:L6"/>
    <mergeCell ref="N5:N6"/>
    <mergeCell ref="O5:O6"/>
    <mergeCell ref="P5:P6"/>
    <mergeCell ref="Q5:Q6"/>
    <mergeCell ref="S5:S6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1" shapeId="15362" r:id="rId4">
          <objectPr defaultSize="0" autoPict="0" r:id="rId5">
            <anchor moveWithCells="1">
              <from>
                <xdr:col>28</xdr:col>
                <xdr:colOff>66675</xdr:colOff>
                <xdr:row>3</xdr:row>
                <xdr:rowOff>9525</xdr:rowOff>
              </from>
              <to>
                <xdr:col>29</xdr:col>
                <xdr:colOff>571500</xdr:colOff>
                <xdr:row>6</xdr:row>
                <xdr:rowOff>57150</xdr:rowOff>
              </to>
            </anchor>
          </objectPr>
        </oleObject>
      </mc:Choice>
      <mc:Fallback>
        <oleObject progId="Visio.Drawing.11" shapeId="15362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showGridLines="0" topLeftCell="A7" workbookViewId="0">
      <selection activeCell="G6" sqref="G6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1" shapeId="4098" r:id="rId3">
          <objectPr defaultSize="0" autoPict="0" r:id="rId4">
            <anchor moveWithCells="1">
              <from>
                <xdr:col>6</xdr:col>
                <xdr:colOff>28575</xdr:colOff>
                <xdr:row>0</xdr:row>
                <xdr:rowOff>28575</xdr:rowOff>
              </from>
              <to>
                <xdr:col>7</xdr:col>
                <xdr:colOff>533400</xdr:colOff>
                <xdr:row>2</xdr:row>
                <xdr:rowOff>171450</xdr:rowOff>
              </to>
            </anchor>
          </objectPr>
        </oleObject>
      </mc:Choice>
      <mc:Fallback>
        <oleObject progId="Visio.Drawing.11" shapeId="4098" r:id="rId3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78:AF80"/>
  <sheetViews>
    <sheetView showGridLines="0" zoomScale="90" zoomScaleNormal="90" workbookViewId="0">
      <selection activeCell="AF28" sqref="AF28"/>
    </sheetView>
  </sheetViews>
  <sheetFormatPr defaultRowHeight="12" x14ac:dyDescent="0.3"/>
  <cols>
    <col min="1" max="1" width="3.75" style="3" customWidth="1"/>
    <col min="2" max="2" width="9" style="5"/>
    <col min="3" max="3" width="17.75" style="5" bestFit="1" customWidth="1"/>
    <col min="4" max="4" width="4.125" style="5" bestFit="1" customWidth="1"/>
    <col min="5" max="7" width="3.25" style="5" bestFit="1" customWidth="1"/>
    <col min="8" max="8" width="2.375" style="5" bestFit="1" customWidth="1"/>
    <col min="9" max="13" width="3.25" style="5" bestFit="1" customWidth="1"/>
    <col min="14" max="15" width="2.375" style="5" bestFit="1" customWidth="1"/>
    <col min="16" max="16" width="2.5" style="5" bestFit="1" customWidth="1"/>
    <col min="17" max="19" width="2.375" style="5" bestFit="1" customWidth="1"/>
    <col min="20" max="20" width="3.25" style="5" bestFit="1" customWidth="1"/>
    <col min="21" max="21" width="2.5" style="5" bestFit="1" customWidth="1"/>
    <col min="22" max="23" width="2.375" style="5" bestFit="1" customWidth="1"/>
    <col min="24" max="24" width="4.25" style="5" bestFit="1" customWidth="1"/>
    <col min="25" max="26" width="4.125" style="5" bestFit="1" customWidth="1"/>
    <col min="27" max="28" width="5.25" style="5" bestFit="1" customWidth="1"/>
    <col min="29" max="29" width="3.25" style="5" bestFit="1" customWidth="1"/>
    <col min="30" max="30" width="5.25" style="5" bestFit="1" customWidth="1"/>
    <col min="31" max="31" width="5.125" style="5" bestFit="1" customWidth="1"/>
    <col min="32" max="32" width="4.75" style="5" bestFit="1" customWidth="1"/>
    <col min="33" max="16384" width="9" style="3"/>
  </cols>
  <sheetData>
    <row r="78" spans="24:27" x14ac:dyDescent="0.3">
      <c r="X78" s="12"/>
      <c r="Y78" s="13"/>
      <c r="Z78" s="13"/>
      <c r="AA78" s="12"/>
    </row>
    <row r="79" spans="24:27" x14ac:dyDescent="0.3">
      <c r="X79" s="12"/>
      <c r="Y79" s="13"/>
      <c r="Z79" s="13"/>
      <c r="AA79" s="12"/>
    </row>
    <row r="80" spans="24:27" x14ac:dyDescent="0.3">
      <c r="X80" s="12"/>
      <c r="Y80" s="12"/>
      <c r="Z80" s="12"/>
      <c r="AA80" s="12"/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1" shapeId="5122" r:id="rId4">
          <objectPr defaultSize="0" autoPict="0" r:id="rId5">
            <anchor moveWithCells="1">
              <from>
                <xdr:col>41</xdr:col>
                <xdr:colOff>238125</xdr:colOff>
                <xdr:row>1</xdr:row>
                <xdr:rowOff>19050</xdr:rowOff>
              </from>
              <to>
                <xdr:col>43</xdr:col>
                <xdr:colOff>57150</xdr:colOff>
                <xdr:row>4</xdr:row>
                <xdr:rowOff>123825</xdr:rowOff>
              </to>
            </anchor>
          </objectPr>
        </oleObject>
      </mc:Choice>
      <mc:Fallback>
        <oleObject progId="Visio.Drawing.11" shapeId="5122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G33"/>
  <sheetViews>
    <sheetView topLeftCell="A3" workbookViewId="0">
      <selection activeCell="A15" sqref="A15:XFD15"/>
    </sheetView>
  </sheetViews>
  <sheetFormatPr defaultRowHeight="16.5" x14ac:dyDescent="0.3"/>
  <cols>
    <col min="2" max="2" width="5.125" customWidth="1"/>
    <col min="3" max="3" width="17.75" bestFit="1" customWidth="1"/>
    <col min="4" max="33" width="5.125" customWidth="1"/>
  </cols>
  <sheetData>
    <row r="2" spans="2:33" s="3" customFormat="1" ht="12" x14ac:dyDescent="0.3">
      <c r="B2" s="164" t="s">
        <v>51</v>
      </c>
      <c r="C2" s="164" t="s">
        <v>50</v>
      </c>
      <c r="D2" s="145" t="s">
        <v>44</v>
      </c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</row>
    <row r="3" spans="2:33" s="3" customFormat="1" ht="12" x14ac:dyDescent="0.3">
      <c r="B3" s="165"/>
      <c r="C3" s="165"/>
      <c r="D3" s="161" t="s">
        <v>41</v>
      </c>
      <c r="E3" s="162"/>
      <c r="F3" s="162"/>
      <c r="G3" s="162"/>
      <c r="H3" s="163"/>
      <c r="I3" s="161" t="s">
        <v>42</v>
      </c>
      <c r="J3" s="162"/>
      <c r="K3" s="162"/>
      <c r="L3" s="162"/>
      <c r="M3" s="163"/>
      <c r="N3" s="161" t="s">
        <v>43</v>
      </c>
      <c r="O3" s="162"/>
      <c r="P3" s="162"/>
      <c r="Q3" s="162"/>
      <c r="R3" s="163"/>
      <c r="S3" s="145" t="s">
        <v>21</v>
      </c>
      <c r="T3" s="145"/>
      <c r="U3" s="145"/>
      <c r="V3" s="145"/>
      <c r="W3" s="145"/>
      <c r="X3" s="145" t="s">
        <v>22</v>
      </c>
      <c r="Y3" s="145"/>
      <c r="Z3" s="145"/>
      <c r="AA3" s="145"/>
      <c r="AB3" s="145"/>
      <c r="AC3" s="145" t="s">
        <v>23</v>
      </c>
      <c r="AD3" s="145"/>
      <c r="AE3" s="145"/>
      <c r="AF3" s="145"/>
      <c r="AG3" s="145"/>
    </row>
    <row r="4" spans="2:33" s="3" customFormat="1" ht="72.75" customHeight="1" x14ac:dyDescent="0.3">
      <c r="B4" s="166"/>
      <c r="C4" s="166"/>
      <c r="D4" s="20" t="s">
        <v>45</v>
      </c>
      <c r="E4" s="20" t="s">
        <v>46</v>
      </c>
      <c r="F4" s="20" t="s">
        <v>47</v>
      </c>
      <c r="G4" s="20" t="s">
        <v>48</v>
      </c>
      <c r="H4" s="20" t="s">
        <v>49</v>
      </c>
      <c r="I4" s="20" t="s">
        <v>45</v>
      </c>
      <c r="J4" s="20" t="s">
        <v>46</v>
      </c>
      <c r="K4" s="20" t="s">
        <v>47</v>
      </c>
      <c r="L4" s="20" t="s">
        <v>48</v>
      </c>
      <c r="M4" s="20" t="s">
        <v>49</v>
      </c>
      <c r="N4" s="20" t="s">
        <v>45</v>
      </c>
      <c r="O4" s="20" t="s">
        <v>46</v>
      </c>
      <c r="P4" s="20" t="s">
        <v>47</v>
      </c>
      <c r="Q4" s="20" t="s">
        <v>48</v>
      </c>
      <c r="R4" s="20" t="s">
        <v>49</v>
      </c>
      <c r="S4" s="20" t="s">
        <v>45</v>
      </c>
      <c r="T4" s="20" t="s">
        <v>46</v>
      </c>
      <c r="U4" s="20" t="s">
        <v>47</v>
      </c>
      <c r="V4" s="20" t="s">
        <v>48</v>
      </c>
      <c r="W4" s="20" t="s">
        <v>49</v>
      </c>
      <c r="X4" s="20" t="s">
        <v>45</v>
      </c>
      <c r="Y4" s="20" t="s">
        <v>46</v>
      </c>
      <c r="Z4" s="20" t="s">
        <v>47</v>
      </c>
      <c r="AA4" s="20" t="s">
        <v>48</v>
      </c>
      <c r="AB4" s="20" t="s">
        <v>49</v>
      </c>
      <c r="AC4" s="20" t="s">
        <v>45</v>
      </c>
      <c r="AD4" s="20" t="s">
        <v>46</v>
      </c>
      <c r="AE4" s="20" t="s">
        <v>47</v>
      </c>
      <c r="AF4" s="20" t="s">
        <v>48</v>
      </c>
      <c r="AG4" s="20" t="s">
        <v>49</v>
      </c>
    </row>
    <row r="5" spans="2:33" s="3" customFormat="1" ht="12" x14ac:dyDescent="0.3">
      <c r="B5" s="6">
        <v>1</v>
      </c>
      <c r="C5" s="14" t="str">
        <f>[1]Summary!$B$7</f>
        <v>Cortex-M3</v>
      </c>
      <c r="D5" s="6">
        <f>[1]Summary!$E$11</f>
        <v>9</v>
      </c>
      <c r="E5" s="6">
        <f>[1]Summary!$E$12</f>
        <v>9</v>
      </c>
      <c r="F5" s="6">
        <f>[1]Summary!$E$13</f>
        <v>0</v>
      </c>
      <c r="G5" s="6">
        <f>[1]Summary!$E$14</f>
        <v>0</v>
      </c>
      <c r="H5" s="6">
        <f>[1]Summary!$E$15</f>
        <v>0</v>
      </c>
      <c r="I5" s="6">
        <f>[1]Summary!$F$11</f>
        <v>1</v>
      </c>
      <c r="J5" s="6">
        <f>[1]Summary!$F$12</f>
        <v>3</v>
      </c>
      <c r="K5" s="6">
        <f>[1]Summary!$F$13</f>
        <v>3</v>
      </c>
      <c r="L5" s="6">
        <f>[1]Summary!$F$14</f>
        <v>0</v>
      </c>
      <c r="M5" s="6">
        <f>[1]Summary!$F$15</f>
        <v>0</v>
      </c>
      <c r="N5" s="6">
        <f>[1]Summary!$G$11</f>
        <v>0</v>
      </c>
      <c r="O5" s="6">
        <f>[1]Summary!$G$12</f>
        <v>2</v>
      </c>
      <c r="P5" s="6">
        <f>[1]Summary!$G$13</f>
        <v>0</v>
      </c>
      <c r="Q5" s="6">
        <f>[1]Summary!$G$14</f>
        <v>0</v>
      </c>
      <c r="R5" s="6">
        <f>[1]Summary!$G$15</f>
        <v>0</v>
      </c>
      <c r="S5" s="6">
        <f>[1]Summary!$H$11</f>
        <v>3</v>
      </c>
      <c r="T5" s="6">
        <f>[1]Summary!$H$12</f>
        <v>14</v>
      </c>
      <c r="U5" s="6">
        <f>[1]Summary!$H$13</f>
        <v>1</v>
      </c>
      <c r="V5" s="6">
        <f>[1]Summary!$H$14</f>
        <v>0</v>
      </c>
      <c r="W5" s="6">
        <f>[1]Summary!$H$15</f>
        <v>0</v>
      </c>
      <c r="X5" s="6">
        <f>[1]Summary!$I$11</f>
        <v>2</v>
      </c>
      <c r="Y5" s="6">
        <f>[1]Summary!$I$12</f>
        <v>0</v>
      </c>
      <c r="Z5" s="6">
        <f>[1]Summary!$I$13</f>
        <v>2</v>
      </c>
      <c r="AA5" s="6">
        <f>[1]Summary!$I$14</f>
        <v>0</v>
      </c>
      <c r="AB5" s="6">
        <f>[1]Summary!$I$15</f>
        <v>0</v>
      </c>
      <c r="AC5" s="6">
        <f>[1]Summary!$J$11</f>
        <v>2</v>
      </c>
      <c r="AD5" s="6">
        <f>[1]Summary!$J$12</f>
        <v>10</v>
      </c>
      <c r="AE5" s="6">
        <f>[1]Summary!$J$13</f>
        <v>3</v>
      </c>
      <c r="AF5" s="6">
        <f>[1]Summary!$J$14</f>
        <v>0</v>
      </c>
      <c r="AG5" s="6">
        <f>[1]Summary!$J$15</f>
        <v>0</v>
      </c>
    </row>
    <row r="6" spans="2:33" s="3" customFormat="1" ht="12" x14ac:dyDescent="0.3">
      <c r="B6" s="6">
        <v>2</v>
      </c>
      <c r="C6" s="14" t="str">
        <f>[2]Summary!$B$7</f>
        <v>HCT</v>
      </c>
      <c r="D6" s="6">
        <f>[2]Summary!$E$11</f>
        <v>1</v>
      </c>
      <c r="E6" s="6">
        <f>[2]Summary!$E$12</f>
        <v>243</v>
      </c>
      <c r="F6" s="6">
        <f>[2]Summary!$E$13</f>
        <v>22</v>
      </c>
      <c r="G6" s="6">
        <f>[2]Summary!$E$14</f>
        <v>11</v>
      </c>
      <c r="H6" s="6">
        <f>[2]Summary!$E$15</f>
        <v>4</v>
      </c>
      <c r="I6" s="6">
        <f>[2]Summary!$F$11</f>
        <v>2</v>
      </c>
      <c r="J6" s="6">
        <f>[2]Summary!$F$12</f>
        <v>47</v>
      </c>
      <c r="K6" s="6">
        <f>[2]Summary!$F$13</f>
        <v>0</v>
      </c>
      <c r="L6" s="6">
        <f>[2]Summary!$F$14</f>
        <v>12</v>
      </c>
      <c r="M6" s="6">
        <f>[2]Summary!$F$15</f>
        <v>0</v>
      </c>
      <c r="N6" s="6">
        <f>[2]Summary!$G$11</f>
        <v>4</v>
      </c>
      <c r="O6" s="6">
        <f>[2]Summary!$G$12</f>
        <v>225</v>
      </c>
      <c r="P6" s="6">
        <f>[2]Summary!$G$13</f>
        <v>0</v>
      </c>
      <c r="Q6" s="6">
        <f>[2]Summary!$G$14</f>
        <v>12</v>
      </c>
      <c r="R6" s="6">
        <f>[2]Summary!$G$15</f>
        <v>2</v>
      </c>
      <c r="S6" s="6">
        <f>[2]Summary!$H$11</f>
        <v>3</v>
      </c>
      <c r="T6" s="6">
        <f>[2]Summary!$H$12</f>
        <v>204</v>
      </c>
      <c r="U6" s="6">
        <f>[2]Summary!$H$13</f>
        <v>25</v>
      </c>
      <c r="V6" s="6">
        <f>[2]Summary!$H$14</f>
        <v>0</v>
      </c>
      <c r="W6" s="6">
        <f>[2]Summary!$H$15</f>
        <v>2</v>
      </c>
      <c r="X6" s="6">
        <f>[2]Summary!$I$11</f>
        <v>0</v>
      </c>
      <c r="Y6" s="6">
        <f>[2]Summary!$I$12</f>
        <v>4</v>
      </c>
      <c r="Z6" s="6">
        <f>[2]Summary!$I$13</f>
        <v>0</v>
      </c>
      <c r="AA6" s="6">
        <f>[2]Summary!$I$14</f>
        <v>0</v>
      </c>
      <c r="AB6" s="6">
        <f>[2]Summary!$I$15</f>
        <v>0</v>
      </c>
      <c r="AC6" s="6">
        <f>[2]Summary!$J$11</f>
        <v>1</v>
      </c>
      <c r="AD6" s="6">
        <f>[2]Summary!$J$12</f>
        <v>204</v>
      </c>
      <c r="AE6" s="6">
        <f>[2]Summary!$J$13</f>
        <v>25</v>
      </c>
      <c r="AF6" s="6">
        <f>[2]Summary!$J$14</f>
        <v>0</v>
      </c>
      <c r="AG6" s="6">
        <f>[2]Summary!$J$15</f>
        <v>2</v>
      </c>
    </row>
    <row r="7" spans="2:33" s="3" customFormat="1" ht="12" x14ac:dyDescent="0.3">
      <c r="B7" s="6">
        <v>3</v>
      </c>
      <c r="C7" s="14" t="str">
        <f>[3]Summary!$B$7</f>
        <v>FCT</v>
      </c>
      <c r="D7" s="6">
        <f>[3]Summary!$E$11</f>
        <v>0</v>
      </c>
      <c r="E7" s="6">
        <f>[3]Summary!$E$12</f>
        <v>0</v>
      </c>
      <c r="F7" s="6">
        <f>[3]Summary!$E$13</f>
        <v>0</v>
      </c>
      <c r="G7" s="6">
        <f>[3]Summary!$E$14</f>
        <v>0</v>
      </c>
      <c r="H7" s="6">
        <f>[3]Summary!$E$15</f>
        <v>0</v>
      </c>
      <c r="I7" s="6">
        <f>[3]Summary!$F$11</f>
        <v>0</v>
      </c>
      <c r="J7" s="6">
        <f>[3]Summary!$F$12</f>
        <v>0</v>
      </c>
      <c r="K7" s="6">
        <f>[3]Summary!$F$13</f>
        <v>0</v>
      </c>
      <c r="L7" s="6">
        <f>[3]Summary!$F$14</f>
        <v>0</v>
      </c>
      <c r="M7" s="6">
        <f>[3]Summary!$F$15</f>
        <v>0</v>
      </c>
      <c r="N7" s="6">
        <f>[3]Summary!$G$11</f>
        <v>0</v>
      </c>
      <c r="O7" s="6">
        <f>[3]Summary!$G$12</f>
        <v>0</v>
      </c>
      <c r="P7" s="6">
        <f>[3]Summary!$G$13</f>
        <v>0</v>
      </c>
      <c r="Q7" s="6">
        <f>[3]Summary!$G$14</f>
        <v>0</v>
      </c>
      <c r="R7" s="6">
        <f>[3]Summary!$G$15</f>
        <v>0</v>
      </c>
      <c r="S7" s="6">
        <f>[3]Summary!$H$11</f>
        <v>0</v>
      </c>
      <c r="T7" s="6">
        <f>[3]Summary!$H$12</f>
        <v>0</v>
      </c>
      <c r="U7" s="6">
        <f>[3]Summary!$H$13</f>
        <v>0</v>
      </c>
      <c r="V7" s="6">
        <f>[3]Summary!$H$14</f>
        <v>0</v>
      </c>
      <c r="W7" s="6">
        <f>[3]Summary!$H$15</f>
        <v>0</v>
      </c>
      <c r="X7" s="6">
        <f>[3]Summary!$I$11</f>
        <v>0</v>
      </c>
      <c r="Y7" s="6">
        <f>[3]Summary!$I$12</f>
        <v>0</v>
      </c>
      <c r="Z7" s="6">
        <f>[3]Summary!$I$13</f>
        <v>0</v>
      </c>
      <c r="AA7" s="6">
        <f>[3]Summary!$I$14</f>
        <v>0</v>
      </c>
      <c r="AB7" s="6">
        <f>[3]Summary!$I$15</f>
        <v>0</v>
      </c>
      <c r="AC7" s="6">
        <f>[3]Summary!$J$11</f>
        <v>0</v>
      </c>
      <c r="AD7" s="6">
        <f>[3]Summary!$J$12</f>
        <v>0</v>
      </c>
      <c r="AE7" s="6">
        <f>[3]Summary!$J$13</f>
        <v>0</v>
      </c>
      <c r="AF7" s="6">
        <f>[3]Summary!$J$14</f>
        <v>0</v>
      </c>
      <c r="AG7" s="6">
        <f>[3]Summary!$J$15</f>
        <v>0</v>
      </c>
    </row>
    <row r="8" spans="2:33" s="3" customFormat="1" ht="12" x14ac:dyDescent="0.3">
      <c r="B8" s="6">
        <v>4</v>
      </c>
      <c r="C8" s="14" t="str">
        <f>[4]Summary!$B$7</f>
        <v>Buffer Manager</v>
      </c>
      <c r="D8" s="6">
        <f>[4]Summary!$E$11</f>
        <v>5</v>
      </c>
      <c r="E8" s="6">
        <f>[4]Summary!$E$12</f>
        <v>41</v>
      </c>
      <c r="F8" s="6">
        <f>[4]Summary!$E$13</f>
        <v>14</v>
      </c>
      <c r="G8" s="6">
        <f>[4]Summary!$E$14</f>
        <v>0</v>
      </c>
      <c r="H8" s="6">
        <f>[4]Summary!$E$15</f>
        <v>0</v>
      </c>
      <c r="I8" s="6">
        <f>[4]Summary!$F$11</f>
        <v>5</v>
      </c>
      <c r="J8" s="6">
        <f>[4]Summary!$F$12</f>
        <v>0</v>
      </c>
      <c r="K8" s="6">
        <f>[4]Summary!$F$13</f>
        <v>21</v>
      </c>
      <c r="L8" s="6">
        <f>[4]Summary!$F$14</f>
        <v>0</v>
      </c>
      <c r="M8" s="6">
        <f>[4]Summary!$F$15</f>
        <v>0</v>
      </c>
      <c r="N8" s="6">
        <f>[4]Summary!$G$11</f>
        <v>5</v>
      </c>
      <c r="O8" s="6">
        <f>[4]Summary!$G$12</f>
        <v>0</v>
      </c>
      <c r="P8" s="6">
        <f>[4]Summary!$G$13</f>
        <v>22</v>
      </c>
      <c r="Q8" s="6">
        <f>[4]Summary!$G$14</f>
        <v>0</v>
      </c>
      <c r="R8" s="6">
        <f>[4]Summary!$G$15</f>
        <v>0</v>
      </c>
      <c r="S8" s="6">
        <f>[4]Summary!$H$11</f>
        <v>5</v>
      </c>
      <c r="T8" s="6">
        <f>[4]Summary!$H$12</f>
        <v>0</v>
      </c>
      <c r="U8" s="6">
        <f>[4]Summary!$H$13</f>
        <v>18</v>
      </c>
      <c r="V8" s="6">
        <f>[4]Summary!$H$14</f>
        <v>0</v>
      </c>
      <c r="W8" s="6">
        <f>[4]Summary!$H$15</f>
        <v>0</v>
      </c>
      <c r="X8" s="6">
        <f>[4]Summary!$I$11</f>
        <v>0</v>
      </c>
      <c r="Y8" s="6">
        <f>[4]Summary!$I$12</f>
        <v>0</v>
      </c>
      <c r="Z8" s="6">
        <f>[4]Summary!$I$13</f>
        <v>22</v>
      </c>
      <c r="AA8" s="6">
        <f>[4]Summary!$I$14</f>
        <v>0</v>
      </c>
      <c r="AB8" s="6">
        <f>[4]Summary!$I$15</f>
        <v>0</v>
      </c>
      <c r="AC8" s="6">
        <f>[4]Summary!$J$11</f>
        <v>5</v>
      </c>
      <c r="AD8" s="6">
        <f>[4]Summary!$J$12</f>
        <v>0</v>
      </c>
      <c r="AE8" s="6">
        <f>[4]Summary!$J$13</f>
        <v>18</v>
      </c>
      <c r="AF8" s="6">
        <f>[4]Summary!$J$14</f>
        <v>0</v>
      </c>
      <c r="AG8" s="6">
        <f>[4]Summary!$J$15</f>
        <v>0</v>
      </c>
    </row>
    <row r="9" spans="2:33" s="3" customFormat="1" ht="12" x14ac:dyDescent="0.3">
      <c r="B9" s="6">
        <v>5</v>
      </c>
      <c r="C9" s="14" t="str">
        <f>[5]Summary!$B$7</f>
        <v>Search Engine</v>
      </c>
      <c r="D9" s="6">
        <f>[5]Summary!$E$11</f>
        <v>0</v>
      </c>
      <c r="E9" s="6">
        <f>[5]Summary!$E$12</f>
        <v>0</v>
      </c>
      <c r="F9" s="6">
        <f>[5]Summary!$E$13</f>
        <v>0</v>
      </c>
      <c r="G9" s="6">
        <f>[5]Summary!$E$14</f>
        <v>0</v>
      </c>
      <c r="H9" s="6">
        <f>[5]Summary!$E$15</f>
        <v>0</v>
      </c>
      <c r="I9" s="6">
        <f>[5]Summary!$F$11</f>
        <v>0</v>
      </c>
      <c r="J9" s="6">
        <f>[5]Summary!$F$12</f>
        <v>0</v>
      </c>
      <c r="K9" s="6">
        <f>[5]Summary!$F$13</f>
        <v>0</v>
      </c>
      <c r="L9" s="6">
        <f>[5]Summary!$F$14</f>
        <v>0</v>
      </c>
      <c r="M9" s="6">
        <f>[5]Summary!$F$15</f>
        <v>0</v>
      </c>
      <c r="N9" s="6">
        <f>[5]Summary!$G$11</f>
        <v>0</v>
      </c>
      <c r="O9" s="6">
        <f>[5]Summary!$G$12</f>
        <v>0</v>
      </c>
      <c r="P9" s="6">
        <f>[5]Summary!$G$13</f>
        <v>0</v>
      </c>
      <c r="Q9" s="6">
        <f>[5]Summary!$G$14</f>
        <v>0</v>
      </c>
      <c r="R9" s="6">
        <f>[5]Summary!$G$15</f>
        <v>0</v>
      </c>
      <c r="S9" s="6">
        <f>[5]Summary!$H$11</f>
        <v>0</v>
      </c>
      <c r="T9" s="6">
        <f>[5]Summary!$H$12</f>
        <v>0</v>
      </c>
      <c r="U9" s="6">
        <f>[5]Summary!$H$13</f>
        <v>0</v>
      </c>
      <c r="V9" s="6">
        <f>[5]Summary!$H$14</f>
        <v>0</v>
      </c>
      <c r="W9" s="6">
        <f>[5]Summary!$H$15</f>
        <v>0</v>
      </c>
      <c r="X9" s="6">
        <f>[5]Summary!$I$11</f>
        <v>0</v>
      </c>
      <c r="Y9" s="6">
        <f>[5]Summary!$I$12</f>
        <v>0</v>
      </c>
      <c r="Z9" s="6">
        <f>[5]Summary!$I$13</f>
        <v>0</v>
      </c>
      <c r="AA9" s="6">
        <f>[5]Summary!$I$14</f>
        <v>0</v>
      </c>
      <c r="AB9" s="6">
        <f>[5]Summary!$I$15</f>
        <v>0</v>
      </c>
      <c r="AC9" s="6">
        <f>[5]Summary!$J$11</f>
        <v>0</v>
      </c>
      <c r="AD9" s="6">
        <f>[5]Summary!$J$12</f>
        <v>0</v>
      </c>
      <c r="AE9" s="6">
        <f>[5]Summary!$J$13</f>
        <v>0</v>
      </c>
      <c r="AF9" s="6">
        <f>[5]Summary!$J$14</f>
        <v>0</v>
      </c>
      <c r="AG9" s="6">
        <f>[5]Summary!$J$15</f>
        <v>0</v>
      </c>
    </row>
    <row r="10" spans="2:33" s="3" customFormat="1" ht="12" x14ac:dyDescent="0.3">
      <c r="B10" s="6">
        <v>6</v>
      </c>
      <c r="C10" s="14" t="str">
        <f>[6]Summary!$B$7</f>
        <v>MTSE</v>
      </c>
      <c r="D10" s="6">
        <f>[6]Summary!$E$11</f>
        <v>0</v>
      </c>
      <c r="E10" s="6">
        <f>[6]Summary!$E$12</f>
        <v>0</v>
      </c>
      <c r="F10" s="6">
        <f>[6]Summary!$E$13</f>
        <v>0</v>
      </c>
      <c r="G10" s="6">
        <f>[6]Summary!$E$14</f>
        <v>0</v>
      </c>
      <c r="H10" s="6">
        <f>[6]Summary!$E$15</f>
        <v>0</v>
      </c>
      <c r="I10" s="6">
        <f>[6]Summary!$F$11</f>
        <v>0</v>
      </c>
      <c r="J10" s="6">
        <f>[6]Summary!$F$12</f>
        <v>0</v>
      </c>
      <c r="K10" s="6">
        <f>[6]Summary!$F$13</f>
        <v>0</v>
      </c>
      <c r="L10" s="6">
        <f>[6]Summary!$F$14</f>
        <v>0</v>
      </c>
      <c r="M10" s="6">
        <f>[6]Summary!$F$15</f>
        <v>0</v>
      </c>
      <c r="N10" s="6">
        <f>[6]Summary!$G$11</f>
        <v>0</v>
      </c>
      <c r="O10" s="6">
        <f>[6]Summary!$G$12</f>
        <v>0</v>
      </c>
      <c r="P10" s="6">
        <f>[6]Summary!$G$13</f>
        <v>0</v>
      </c>
      <c r="Q10" s="6">
        <f>[6]Summary!$G$14</f>
        <v>0</v>
      </c>
      <c r="R10" s="6">
        <f>[6]Summary!$G$15</f>
        <v>0</v>
      </c>
      <c r="S10" s="6">
        <f>[6]Summary!$H$11</f>
        <v>0</v>
      </c>
      <c r="T10" s="6">
        <f>[6]Summary!$H$12</f>
        <v>0</v>
      </c>
      <c r="U10" s="6">
        <f>[6]Summary!$H$13</f>
        <v>0</v>
      </c>
      <c r="V10" s="6">
        <f>[6]Summary!$H$14</f>
        <v>0</v>
      </c>
      <c r="W10" s="6">
        <f>[6]Summary!$H$15</f>
        <v>0</v>
      </c>
      <c r="X10" s="6">
        <f>[6]Summary!$I$11</f>
        <v>0</v>
      </c>
      <c r="Y10" s="6">
        <f>[6]Summary!$I$12</f>
        <v>0</v>
      </c>
      <c r="Z10" s="6">
        <f>[6]Summary!$I$13</f>
        <v>0</v>
      </c>
      <c r="AA10" s="6">
        <f>[6]Summary!$I$14</f>
        <v>0</v>
      </c>
      <c r="AB10" s="6">
        <f>[6]Summary!$I$15</f>
        <v>0</v>
      </c>
      <c r="AC10" s="6">
        <f>[6]Summary!$J$11</f>
        <v>0</v>
      </c>
      <c r="AD10" s="6">
        <f>[6]Summary!$J$12</f>
        <v>0</v>
      </c>
      <c r="AE10" s="6">
        <f>[6]Summary!$J$13</f>
        <v>0</v>
      </c>
      <c r="AF10" s="6">
        <f>[6]Summary!$J$14</f>
        <v>0</v>
      </c>
      <c r="AG10" s="6">
        <f>[6]Summary!$J$15</f>
        <v>0</v>
      </c>
    </row>
    <row r="11" spans="2:33" s="3" customFormat="1" ht="12" x14ac:dyDescent="0.3">
      <c r="B11" s="6">
        <v>7</v>
      </c>
      <c r="C11" s="14" t="str">
        <f>[7]Summary!$B$7</f>
        <v>System Memory</v>
      </c>
      <c r="D11" s="6">
        <f>[7]Summary!$E$11</f>
        <v>0</v>
      </c>
      <c r="E11" s="6">
        <f>[7]Summary!$E$12</f>
        <v>73</v>
      </c>
      <c r="F11" s="6">
        <f>[7]Summary!$E$13</f>
        <v>7</v>
      </c>
      <c r="G11" s="6">
        <f>[7]Summary!$E$14</f>
        <v>12</v>
      </c>
      <c r="H11" s="6">
        <f>[7]Summary!$E$15</f>
        <v>7</v>
      </c>
      <c r="I11" s="6">
        <f>[7]Summary!$F$11</f>
        <v>0</v>
      </c>
      <c r="J11" s="6">
        <f>[7]Summary!$F$12</f>
        <v>0</v>
      </c>
      <c r="K11" s="6">
        <f>[7]Summary!$F$13</f>
        <v>9</v>
      </c>
      <c r="L11" s="6">
        <f>[7]Summary!$F$14</f>
        <v>0</v>
      </c>
      <c r="M11" s="6">
        <f>[7]Summary!$F$15</f>
        <v>0</v>
      </c>
      <c r="N11" s="6">
        <f>[7]Summary!$G$11</f>
        <v>0</v>
      </c>
      <c r="O11" s="6">
        <f>[7]Summary!$G$12</f>
        <v>0</v>
      </c>
      <c r="P11" s="6">
        <f>[7]Summary!$G$13</f>
        <v>9</v>
      </c>
      <c r="Q11" s="6">
        <f>[7]Summary!$G$14</f>
        <v>0</v>
      </c>
      <c r="R11" s="6">
        <f>[7]Summary!$G$15</f>
        <v>0</v>
      </c>
      <c r="S11" s="6">
        <f>[7]Summary!$H$11</f>
        <v>0</v>
      </c>
      <c r="T11" s="6">
        <f>[7]Summary!$H$12</f>
        <v>0</v>
      </c>
      <c r="U11" s="6">
        <f>[7]Summary!$H$13</f>
        <v>0</v>
      </c>
      <c r="V11" s="6">
        <f>[7]Summary!$H$14</f>
        <v>0</v>
      </c>
      <c r="W11" s="6">
        <f>[7]Summary!$H$15</f>
        <v>0</v>
      </c>
      <c r="X11" s="6">
        <f>[7]Summary!$I$11</f>
        <v>0</v>
      </c>
      <c r="Y11" s="6">
        <f>[7]Summary!$I$12</f>
        <v>0</v>
      </c>
      <c r="Z11" s="6">
        <f>[7]Summary!$I$13</f>
        <v>0</v>
      </c>
      <c r="AA11" s="6">
        <f>[7]Summary!$I$14</f>
        <v>0</v>
      </c>
      <c r="AB11" s="6">
        <f>[7]Summary!$I$15</f>
        <v>0</v>
      </c>
      <c r="AC11" s="6">
        <f>[7]Summary!$J$11</f>
        <v>0</v>
      </c>
      <c r="AD11" s="6">
        <f>[7]Summary!$J$12</f>
        <v>0</v>
      </c>
      <c r="AE11" s="6">
        <f>[7]Summary!$J$13</f>
        <v>0</v>
      </c>
      <c r="AF11" s="6">
        <f>[7]Summary!$J$14</f>
        <v>0</v>
      </c>
      <c r="AG11" s="6">
        <f>[7]Summary!$J$15</f>
        <v>0</v>
      </c>
    </row>
    <row r="12" spans="2:33" s="3" customFormat="1" ht="12" x14ac:dyDescent="0.3">
      <c r="B12" s="6">
        <v>8</v>
      </c>
      <c r="C12" s="14" t="str">
        <f>[8]Summary!$B$7</f>
        <v>Linked List SE</v>
      </c>
      <c r="D12" s="6">
        <f>[8]Summary!$E$11</f>
        <v>4</v>
      </c>
      <c r="E12" s="6">
        <f>[8]Summary!$E$12</f>
        <v>15</v>
      </c>
      <c r="F12" s="6">
        <f>[8]Summary!$E$13</f>
        <v>0</v>
      </c>
      <c r="G12" s="6">
        <f>[8]Summary!$E$14</f>
        <v>2</v>
      </c>
      <c r="H12" s="6">
        <f>[8]Summary!$E$15</f>
        <v>0</v>
      </c>
      <c r="I12" s="6">
        <f>[8]Summary!$F$11</f>
        <v>0</v>
      </c>
      <c r="J12" s="6">
        <f>[8]Summary!$F$12</f>
        <v>0</v>
      </c>
      <c r="K12" s="6">
        <f>[8]Summary!$F$13</f>
        <v>0</v>
      </c>
      <c r="L12" s="6">
        <f>[8]Summary!$F$14</f>
        <v>0</v>
      </c>
      <c r="M12" s="6">
        <f>[8]Summary!$F$15</f>
        <v>0</v>
      </c>
      <c r="N12" s="6">
        <f>[8]Summary!$G$11</f>
        <v>1</v>
      </c>
      <c r="O12" s="6">
        <f>[8]Summary!$G$12</f>
        <v>0</v>
      </c>
      <c r="P12" s="6">
        <f>[8]Summary!$G$13</f>
        <v>0</v>
      </c>
      <c r="Q12" s="6">
        <f>[8]Summary!$G$14</f>
        <v>0</v>
      </c>
      <c r="R12" s="6">
        <f>[8]Summary!$G$15</f>
        <v>0</v>
      </c>
      <c r="S12" s="6">
        <f>[8]Summary!$H$11</f>
        <v>1</v>
      </c>
      <c r="T12" s="6">
        <f>[8]Summary!$H$12</f>
        <v>19</v>
      </c>
      <c r="U12" s="6">
        <f>[8]Summary!$H$13</f>
        <v>0</v>
      </c>
      <c r="V12" s="6">
        <f>[8]Summary!$H$14</f>
        <v>2</v>
      </c>
      <c r="W12" s="6">
        <f>[8]Summary!$H$15</f>
        <v>0</v>
      </c>
      <c r="X12" s="6">
        <f>[8]Summary!$I$11</f>
        <v>2</v>
      </c>
      <c r="Y12" s="6">
        <f>[8]Summary!$I$12</f>
        <v>3</v>
      </c>
      <c r="Z12" s="6">
        <f>[8]Summary!$I$13</f>
        <v>0</v>
      </c>
      <c r="AA12" s="6">
        <f>[8]Summary!$I$14</f>
        <v>0</v>
      </c>
      <c r="AB12" s="6">
        <f>[8]Summary!$I$15</f>
        <v>0</v>
      </c>
      <c r="AC12" s="6">
        <f>[8]Summary!$J$11</f>
        <v>2</v>
      </c>
      <c r="AD12" s="6">
        <f>[8]Summary!$J$12</f>
        <v>19</v>
      </c>
      <c r="AE12" s="6">
        <f>[8]Summary!$J$13</f>
        <v>0</v>
      </c>
      <c r="AF12" s="6">
        <f>[8]Summary!$J$14</f>
        <v>0</v>
      </c>
      <c r="AG12" s="6">
        <f>[8]Summary!$J$15</f>
        <v>0</v>
      </c>
    </row>
    <row r="13" spans="2:33" s="3" customFormat="1" ht="12" x14ac:dyDescent="0.3">
      <c r="B13" s="6">
        <v>9</v>
      </c>
      <c r="C13" s="14" t="str">
        <f>[9]Summary!$B$7</f>
        <v>DMA</v>
      </c>
      <c r="D13" s="6">
        <f>[9]Summary!$E$11</f>
        <v>5</v>
      </c>
      <c r="E13" s="6">
        <f>[9]Summary!$E$12</f>
        <v>18</v>
      </c>
      <c r="F13" s="6">
        <f>[9]Summary!$E$13</f>
        <v>6</v>
      </c>
      <c r="G13" s="6">
        <f>[9]Summary!$E$14</f>
        <v>0</v>
      </c>
      <c r="H13" s="6">
        <f>[9]Summary!$E$15</f>
        <v>0</v>
      </c>
      <c r="I13" s="6">
        <f>[9]Summary!$F$11</f>
        <v>0</v>
      </c>
      <c r="J13" s="6">
        <f>[9]Summary!$F$12</f>
        <v>0</v>
      </c>
      <c r="K13" s="6">
        <f>[9]Summary!$F$13</f>
        <v>0</v>
      </c>
      <c r="L13" s="6">
        <f>[9]Summary!$F$14</f>
        <v>0</v>
      </c>
      <c r="M13" s="6">
        <f>[9]Summary!$F$15</f>
        <v>0</v>
      </c>
      <c r="N13" s="6">
        <f>[9]Summary!$G$11</f>
        <v>6</v>
      </c>
      <c r="O13" s="6">
        <f>[9]Summary!$G$12</f>
        <v>22</v>
      </c>
      <c r="P13" s="6">
        <f>[9]Summary!$G$13</f>
        <v>6</v>
      </c>
      <c r="Q13" s="6">
        <f>[9]Summary!$G$14</f>
        <v>0</v>
      </c>
      <c r="R13" s="6">
        <f>[9]Summary!$G$15</f>
        <v>0</v>
      </c>
      <c r="S13" s="6">
        <f>[9]Summary!$H$11</f>
        <v>2</v>
      </c>
      <c r="T13" s="6">
        <f>[9]Summary!$H$12</f>
        <v>18</v>
      </c>
      <c r="U13" s="6">
        <f>[9]Summary!$H$13</f>
        <v>6</v>
      </c>
      <c r="V13" s="6">
        <f>[9]Summary!$H$14</f>
        <v>0</v>
      </c>
      <c r="W13" s="6">
        <f>[9]Summary!$H$15</f>
        <v>0</v>
      </c>
      <c r="X13" s="6">
        <f>[9]Summary!$I$11</f>
        <v>2</v>
      </c>
      <c r="Y13" s="6">
        <f>[9]Summary!$I$12</f>
        <v>0</v>
      </c>
      <c r="Z13" s="6">
        <f>[9]Summary!$I$13</f>
        <v>3</v>
      </c>
      <c r="AA13" s="6">
        <f>[9]Summary!$I$14</f>
        <v>0</v>
      </c>
      <c r="AB13" s="6">
        <f>[9]Summary!$I$15</f>
        <v>0</v>
      </c>
      <c r="AC13" s="6">
        <f>[9]Summary!$J$11</f>
        <v>2</v>
      </c>
      <c r="AD13" s="6">
        <f>[9]Summary!$J$12</f>
        <v>5</v>
      </c>
      <c r="AE13" s="6">
        <f>[9]Summary!$J$13</f>
        <v>6</v>
      </c>
      <c r="AF13" s="6">
        <f>[9]Summary!$J$14</f>
        <v>0</v>
      </c>
      <c r="AG13" s="6">
        <f>[9]Summary!$J$15</f>
        <v>0</v>
      </c>
    </row>
    <row r="14" spans="2:33" s="3" customFormat="1" ht="12" x14ac:dyDescent="0.3">
      <c r="B14" s="6">
        <v>10</v>
      </c>
      <c r="C14" s="14" t="str">
        <f>[10]Summary!$B$7</f>
        <v>Back Bone</v>
      </c>
      <c r="D14" s="6">
        <f>[10]Summary!$E$11</f>
        <v>2</v>
      </c>
      <c r="E14" s="6">
        <f>[10]Summary!$E$12</f>
        <v>0</v>
      </c>
      <c r="F14" s="6">
        <f>[10]Summary!$E$13</f>
        <v>1</v>
      </c>
      <c r="G14" s="6">
        <f>[10]Summary!$E$14</f>
        <v>1</v>
      </c>
      <c r="H14" s="6">
        <f>[10]Summary!$E$15</f>
        <v>0</v>
      </c>
      <c r="I14" s="6">
        <f>[10]Summary!$F$11</f>
        <v>0</v>
      </c>
      <c r="J14" s="6">
        <f>[10]Summary!$F$12</f>
        <v>0</v>
      </c>
      <c r="K14" s="6">
        <f>[10]Summary!$F$13</f>
        <v>0</v>
      </c>
      <c r="L14" s="6">
        <f>[10]Summary!$F$14</f>
        <v>0</v>
      </c>
      <c r="M14" s="6">
        <f>[10]Summary!$F$15</f>
        <v>0</v>
      </c>
      <c r="N14" s="6">
        <f>[10]Summary!$G$11</f>
        <v>0</v>
      </c>
      <c r="O14" s="6">
        <f>[10]Summary!$G$12</f>
        <v>0</v>
      </c>
      <c r="P14" s="6">
        <f>[10]Summary!$G$13</f>
        <v>0</v>
      </c>
      <c r="Q14" s="6">
        <f>[10]Summary!$G$14</f>
        <v>0</v>
      </c>
      <c r="R14" s="6">
        <f>[10]Summary!$G$15</f>
        <v>0</v>
      </c>
      <c r="S14" s="6">
        <f>[10]Summary!$H$11</f>
        <v>0</v>
      </c>
      <c r="T14" s="6">
        <f>[10]Summary!$H$12</f>
        <v>0</v>
      </c>
      <c r="U14" s="6">
        <f>[10]Summary!$H$13</f>
        <v>0</v>
      </c>
      <c r="V14" s="6">
        <f>[10]Summary!$H$14</f>
        <v>0</v>
      </c>
      <c r="W14" s="6">
        <f>[10]Summary!$H$15</f>
        <v>0</v>
      </c>
      <c r="X14" s="6">
        <f>[10]Summary!$I$11</f>
        <v>0</v>
      </c>
      <c r="Y14" s="6">
        <f>[10]Summary!$I$12</f>
        <v>0</v>
      </c>
      <c r="Z14" s="6">
        <f>[10]Summary!$I$13</f>
        <v>0</v>
      </c>
      <c r="AA14" s="6">
        <f>[10]Summary!$I$14</f>
        <v>0</v>
      </c>
      <c r="AB14" s="6">
        <f>[10]Summary!$I$15</f>
        <v>0</v>
      </c>
      <c r="AC14" s="6">
        <f>[10]Summary!$J$11</f>
        <v>0</v>
      </c>
      <c r="AD14" s="6">
        <f>[10]Summary!$J$12</f>
        <v>0</v>
      </c>
      <c r="AE14" s="6">
        <f>[10]Summary!$J$13</f>
        <v>0</v>
      </c>
      <c r="AF14" s="6">
        <f>[10]Summary!$J$14</f>
        <v>0</v>
      </c>
      <c r="AG14" s="6">
        <f>[10]Summary!$J$15</f>
        <v>0</v>
      </c>
    </row>
    <row r="15" spans="2:33" s="3" customFormat="1" ht="12" x14ac:dyDescent="0.3">
      <c r="B15" s="6">
        <v>11</v>
      </c>
      <c r="C15" s="14" t="str">
        <f>[11]Summary!$B$7</f>
        <v>Analog IP</v>
      </c>
      <c r="D15" s="6">
        <f>[11]Summary!$E$11</f>
        <v>0</v>
      </c>
      <c r="E15" s="6">
        <f>[11]Summary!$E$12</f>
        <v>0</v>
      </c>
      <c r="F15" s="6">
        <f>[11]Summary!$E$13</f>
        <v>0</v>
      </c>
      <c r="G15" s="6">
        <f>[11]Summary!$E$14</f>
        <v>0</v>
      </c>
      <c r="H15" s="6">
        <f>[11]Summary!$E$15</f>
        <v>0</v>
      </c>
      <c r="I15" s="6">
        <f>[11]Summary!$F$11</f>
        <v>0</v>
      </c>
      <c r="J15" s="6">
        <f>[11]Summary!$F$12</f>
        <v>0</v>
      </c>
      <c r="K15" s="6">
        <f>[11]Summary!$F$13</f>
        <v>0</v>
      </c>
      <c r="L15" s="6">
        <f>[11]Summary!$F$14</f>
        <v>0</v>
      </c>
      <c r="M15" s="6">
        <f>[11]Summary!$F$15</f>
        <v>0</v>
      </c>
      <c r="N15" s="6">
        <f>[11]Summary!$G$11</f>
        <v>0</v>
      </c>
      <c r="O15" s="6">
        <f>[11]Summary!$G$12</f>
        <v>0</v>
      </c>
      <c r="P15" s="6">
        <f>[11]Summary!$G$13</f>
        <v>0</v>
      </c>
      <c r="Q15" s="6">
        <f>[11]Summary!$G$14</f>
        <v>0</v>
      </c>
      <c r="R15" s="6">
        <f>[11]Summary!$G$15</f>
        <v>0</v>
      </c>
      <c r="S15" s="6">
        <f>[11]Summary!$H$11</f>
        <v>0</v>
      </c>
      <c r="T15" s="6">
        <f>[11]Summary!$H$12</f>
        <v>0</v>
      </c>
      <c r="U15" s="6">
        <f>[11]Summary!$H$13</f>
        <v>0</v>
      </c>
      <c r="V15" s="6">
        <f>[11]Summary!$H$14</f>
        <v>0</v>
      </c>
      <c r="W15" s="6">
        <f>[11]Summary!$H$15</f>
        <v>0</v>
      </c>
      <c r="X15" s="6">
        <f>[11]Summary!$I$11</f>
        <v>0</v>
      </c>
      <c r="Y15" s="6">
        <f>[11]Summary!$I$12</f>
        <v>0</v>
      </c>
      <c r="Z15" s="6">
        <f>[11]Summary!$I$13</f>
        <v>0</v>
      </c>
      <c r="AA15" s="6">
        <f>[11]Summary!$I$14</f>
        <v>0</v>
      </c>
      <c r="AB15" s="6">
        <f>[11]Summary!$I$15</f>
        <v>0</v>
      </c>
      <c r="AC15" s="6">
        <f>[11]Summary!$J$11</f>
        <v>0</v>
      </c>
      <c r="AD15" s="6">
        <f>[11]Summary!$J$12</f>
        <v>0</v>
      </c>
      <c r="AE15" s="6">
        <f>[11]Summary!$J$13</f>
        <v>0</v>
      </c>
      <c r="AF15" s="6">
        <f>[11]Summary!$J$14</f>
        <v>0</v>
      </c>
      <c r="AG15" s="6">
        <f>[11]Summary!$J$15</f>
        <v>0</v>
      </c>
    </row>
    <row r="16" spans="2:33" s="3" customFormat="1" ht="12" x14ac:dyDescent="0.3">
      <c r="B16" s="6">
        <v>12</v>
      </c>
      <c r="C16" s="14" t="str">
        <f>[12]Summary!$B$7</f>
        <v>SysCtrl: PMU</v>
      </c>
      <c r="D16" s="6">
        <f>[12]Summary!$E$11</f>
        <v>4</v>
      </c>
      <c r="E16" s="6">
        <f>[12]Summary!$E$12</f>
        <v>75</v>
      </c>
      <c r="F16" s="6">
        <f>[12]Summary!$E$13</f>
        <v>0</v>
      </c>
      <c r="G16" s="6">
        <f>[12]Summary!$E$14</f>
        <v>0</v>
      </c>
      <c r="H16" s="6">
        <f>[12]Summary!$E$15</f>
        <v>0</v>
      </c>
      <c r="I16" s="6">
        <f>[12]Summary!$F$11</f>
        <v>4</v>
      </c>
      <c r="J16" s="6">
        <f>[12]Summary!$F$12</f>
        <v>0</v>
      </c>
      <c r="K16" s="6">
        <f>[12]Summary!$F$13</f>
        <v>110</v>
      </c>
      <c r="L16" s="6">
        <f>[12]Summary!$F$14</f>
        <v>0</v>
      </c>
      <c r="M16" s="6">
        <f>[12]Summary!$F$15</f>
        <v>1</v>
      </c>
      <c r="N16" s="6">
        <f>[12]Summary!$G$11</f>
        <v>4</v>
      </c>
      <c r="O16" s="6">
        <f>[12]Summary!$G$12</f>
        <v>0</v>
      </c>
      <c r="P16" s="6">
        <f>[12]Summary!$G$13</f>
        <v>111</v>
      </c>
      <c r="Q16" s="6">
        <f>[12]Summary!$G$14</f>
        <v>0</v>
      </c>
      <c r="R16" s="6">
        <f>[12]Summary!$G$15</f>
        <v>0</v>
      </c>
      <c r="S16" s="6">
        <f>[12]Summary!$H$11</f>
        <v>3</v>
      </c>
      <c r="T16" s="6">
        <f>[12]Summary!$H$12</f>
        <v>0</v>
      </c>
      <c r="U16" s="6">
        <f>[12]Summary!$H$13</f>
        <v>58</v>
      </c>
      <c r="V16" s="6">
        <f>[12]Summary!$H$14</f>
        <v>0</v>
      </c>
      <c r="W16" s="6">
        <f>[12]Summary!$H$15</f>
        <v>0</v>
      </c>
      <c r="X16" s="6">
        <f>[12]Summary!$I$11</f>
        <v>4</v>
      </c>
      <c r="Y16" s="6">
        <f>[12]Summary!$I$12</f>
        <v>0</v>
      </c>
      <c r="Z16" s="6">
        <f>[12]Summary!$I$13</f>
        <v>110</v>
      </c>
      <c r="AA16" s="6">
        <f>[12]Summary!$I$14</f>
        <v>0</v>
      </c>
      <c r="AB16" s="6">
        <f>[12]Summary!$I$15</f>
        <v>0</v>
      </c>
      <c r="AC16" s="6">
        <f>[12]Summary!$J$11</f>
        <v>3</v>
      </c>
      <c r="AD16" s="6">
        <f>[12]Summary!$J$12</f>
        <v>0</v>
      </c>
      <c r="AE16" s="6">
        <f>[12]Summary!$J$13</f>
        <v>101</v>
      </c>
      <c r="AF16" s="6">
        <f>[12]Summary!$J$14</f>
        <v>0</v>
      </c>
      <c r="AG16" s="6">
        <f>[12]Summary!$J$15</f>
        <v>0</v>
      </c>
    </row>
    <row r="17" spans="2:33" s="3" customFormat="1" ht="12" x14ac:dyDescent="0.3">
      <c r="B17" s="6">
        <v>13</v>
      </c>
      <c r="C17" s="14" t="str">
        <f>[13]Summary!$B$7</f>
        <v>RPMB</v>
      </c>
      <c r="D17" s="6">
        <f>[13]Summary!$E$11</f>
        <v>4</v>
      </c>
      <c r="E17" s="6">
        <f>[13]Summary!$E$12</f>
        <v>11</v>
      </c>
      <c r="F17" s="6">
        <f>[13]Summary!$E$13</f>
        <v>12</v>
      </c>
      <c r="G17" s="6">
        <f>[13]Summary!$E$14</f>
        <v>0</v>
      </c>
      <c r="H17" s="6">
        <f>[13]Summary!$E$15</f>
        <v>0</v>
      </c>
      <c r="I17" s="6">
        <f>[13]Summary!$F$11</f>
        <v>1</v>
      </c>
      <c r="J17" s="6">
        <f>[13]Summary!$F$12</f>
        <v>7</v>
      </c>
      <c r="K17" s="6">
        <f>[13]Summary!$F$13</f>
        <v>19</v>
      </c>
      <c r="L17" s="6">
        <f>[13]Summary!$F$14</f>
        <v>2</v>
      </c>
      <c r="M17" s="6">
        <f>[13]Summary!$F$15</f>
        <v>0</v>
      </c>
      <c r="N17" s="6">
        <f>[13]Summary!$G$11</f>
        <v>1</v>
      </c>
      <c r="O17" s="6">
        <f>[13]Summary!$G$12</f>
        <v>0</v>
      </c>
      <c r="P17" s="6">
        <f>[13]Summary!$G$13</f>
        <v>0</v>
      </c>
      <c r="Q17" s="6">
        <f>[13]Summary!$G$14</f>
        <v>0</v>
      </c>
      <c r="R17" s="6">
        <f>[13]Summary!$G$15</f>
        <v>0</v>
      </c>
      <c r="S17" s="6">
        <f>[13]Summary!$H$11</f>
        <v>1</v>
      </c>
      <c r="T17" s="6">
        <f>[13]Summary!$H$12</f>
        <v>7</v>
      </c>
      <c r="U17" s="6">
        <f>[13]Summary!$H$13</f>
        <v>8</v>
      </c>
      <c r="V17" s="6">
        <f>[13]Summary!$H$14</f>
        <v>2</v>
      </c>
      <c r="W17" s="6">
        <f>[13]Summary!$H$15</f>
        <v>0</v>
      </c>
      <c r="X17" s="6">
        <f>[13]Summary!$I$11</f>
        <v>0</v>
      </c>
      <c r="Y17" s="6">
        <f>[13]Summary!$I$12</f>
        <v>2</v>
      </c>
      <c r="Z17" s="6">
        <f>[13]Summary!$I$13</f>
        <v>0</v>
      </c>
      <c r="AA17" s="6">
        <f>[13]Summary!$I$14</f>
        <v>0</v>
      </c>
      <c r="AB17" s="6">
        <f>[13]Summary!$I$15</f>
        <v>0</v>
      </c>
      <c r="AC17" s="6">
        <f>[13]Summary!$J$11</f>
        <v>1</v>
      </c>
      <c r="AD17" s="6">
        <f>[13]Summary!$J$12</f>
        <v>7</v>
      </c>
      <c r="AE17" s="6">
        <f>[13]Summary!$J$13</f>
        <v>8</v>
      </c>
      <c r="AF17" s="6">
        <f>[13]Summary!$J$14</f>
        <v>2</v>
      </c>
      <c r="AG17" s="6">
        <f>[13]Summary!$J$15</f>
        <v>0</v>
      </c>
    </row>
    <row r="18" spans="2:33" s="3" customFormat="1" ht="12" x14ac:dyDescent="0.3">
      <c r="B18" s="6">
        <v>14</v>
      </c>
      <c r="C18" s="14" t="str">
        <f>[14]Summary!$B$7</f>
        <v>Mail Box</v>
      </c>
      <c r="D18" s="6">
        <f>[14]Summary!$E$11</f>
        <v>4</v>
      </c>
      <c r="E18" s="6">
        <f>[14]Summary!$E$12</f>
        <v>24</v>
      </c>
      <c r="F18" s="6">
        <f>[14]Summary!$E$13</f>
        <v>0</v>
      </c>
      <c r="G18" s="6">
        <f>[14]Summary!$E$14</f>
        <v>0</v>
      </c>
      <c r="H18" s="6">
        <f>[14]Summary!$E$15</f>
        <v>0</v>
      </c>
      <c r="I18" s="6">
        <f>[14]Summary!$F$11</f>
        <v>1</v>
      </c>
      <c r="J18" s="6">
        <f>[14]Summary!$F$12</f>
        <v>0</v>
      </c>
      <c r="K18" s="6">
        <f>[14]Summary!$F$13</f>
        <v>0</v>
      </c>
      <c r="L18" s="6">
        <f>[14]Summary!$F$14</f>
        <v>0</v>
      </c>
      <c r="M18" s="6">
        <f>[14]Summary!$F$15</f>
        <v>0</v>
      </c>
      <c r="N18" s="6">
        <f>[14]Summary!$G$11</f>
        <v>1</v>
      </c>
      <c r="O18" s="6">
        <f>[14]Summary!$G$12</f>
        <v>16</v>
      </c>
      <c r="P18" s="6">
        <f>[14]Summary!$G$13</f>
        <v>0</v>
      </c>
      <c r="Q18" s="6">
        <f>[14]Summary!$G$14</f>
        <v>0</v>
      </c>
      <c r="R18" s="6">
        <f>[14]Summary!$G$15</f>
        <v>0</v>
      </c>
      <c r="S18" s="6">
        <f>[14]Summary!$H$11</f>
        <v>1</v>
      </c>
      <c r="T18" s="6">
        <f>[14]Summary!$H$12</f>
        <v>8</v>
      </c>
      <c r="U18" s="6">
        <f>[14]Summary!$H$13</f>
        <v>0</v>
      </c>
      <c r="V18" s="6">
        <f>[14]Summary!$H$14</f>
        <v>1</v>
      </c>
      <c r="W18" s="6">
        <f>[14]Summary!$H$15</f>
        <v>0</v>
      </c>
      <c r="X18" s="6">
        <f>[14]Summary!$I$11</f>
        <v>0</v>
      </c>
      <c r="Y18" s="6">
        <f>[14]Summary!$I$12</f>
        <v>1</v>
      </c>
      <c r="Z18" s="6">
        <f>[14]Summary!$I$13</f>
        <v>0</v>
      </c>
      <c r="AA18" s="6">
        <f>[14]Summary!$I$14</f>
        <v>0</v>
      </c>
      <c r="AB18" s="6">
        <f>[14]Summary!$I$15</f>
        <v>0</v>
      </c>
      <c r="AC18" s="6">
        <f>[14]Summary!$J$11</f>
        <v>1</v>
      </c>
      <c r="AD18" s="6">
        <f>[14]Summary!$J$12</f>
        <v>7</v>
      </c>
      <c r="AE18" s="6">
        <f>[14]Summary!$J$13</f>
        <v>0</v>
      </c>
      <c r="AF18" s="6">
        <f>[14]Summary!$J$14</f>
        <v>0</v>
      </c>
      <c r="AG18" s="6">
        <f>[14]Summary!$J$15</f>
        <v>0</v>
      </c>
    </row>
    <row r="19" spans="2:33" s="3" customFormat="1" ht="12" x14ac:dyDescent="0.3">
      <c r="B19" s="6">
        <v>15</v>
      </c>
      <c r="C19" s="14" t="str">
        <f>[15]Summary!$B$7</f>
        <v>Timer</v>
      </c>
      <c r="D19" s="6">
        <f>[15]Summary!$E$11</f>
        <v>0</v>
      </c>
      <c r="E19" s="6">
        <f>[15]Summary!$E$12</f>
        <v>0</v>
      </c>
      <c r="F19" s="6">
        <f>[15]Summary!$E$13</f>
        <v>0</v>
      </c>
      <c r="G19" s="6">
        <f>[15]Summary!$E$14</f>
        <v>0</v>
      </c>
      <c r="H19" s="6">
        <f>[15]Summary!$E$15</f>
        <v>0</v>
      </c>
      <c r="I19" s="6">
        <f>[15]Summary!$F$11</f>
        <v>0</v>
      </c>
      <c r="J19" s="6">
        <f>[15]Summary!$F$12</f>
        <v>0</v>
      </c>
      <c r="K19" s="6">
        <f>[15]Summary!$F$13</f>
        <v>0</v>
      </c>
      <c r="L19" s="6">
        <f>[15]Summary!$F$14</f>
        <v>0</v>
      </c>
      <c r="M19" s="6">
        <f>[15]Summary!$F$15</f>
        <v>0</v>
      </c>
      <c r="N19" s="6">
        <f>[15]Summary!$G$11</f>
        <v>0</v>
      </c>
      <c r="O19" s="6">
        <f>[15]Summary!$G$12</f>
        <v>0</v>
      </c>
      <c r="P19" s="6">
        <f>[15]Summary!$G$13</f>
        <v>0</v>
      </c>
      <c r="Q19" s="6">
        <f>[15]Summary!$G$14</f>
        <v>0</v>
      </c>
      <c r="R19" s="6">
        <f>[15]Summary!$G$15</f>
        <v>0</v>
      </c>
      <c r="S19" s="6">
        <f>[15]Summary!$H$11</f>
        <v>0</v>
      </c>
      <c r="T19" s="6">
        <f>[15]Summary!$H$12</f>
        <v>0</v>
      </c>
      <c r="U19" s="6">
        <f>[15]Summary!$H$13</f>
        <v>0</v>
      </c>
      <c r="V19" s="6">
        <f>[15]Summary!$H$14</f>
        <v>0</v>
      </c>
      <c r="W19" s="6">
        <f>[15]Summary!$H$15</f>
        <v>0</v>
      </c>
      <c r="X19" s="6">
        <f>[15]Summary!$I$11</f>
        <v>0</v>
      </c>
      <c r="Y19" s="6">
        <f>[15]Summary!$I$12</f>
        <v>0</v>
      </c>
      <c r="Z19" s="6">
        <f>[15]Summary!$I$13</f>
        <v>0</v>
      </c>
      <c r="AA19" s="6">
        <f>[15]Summary!$I$14</f>
        <v>0</v>
      </c>
      <c r="AB19" s="6">
        <f>[15]Summary!$I$15</f>
        <v>0</v>
      </c>
      <c r="AC19" s="6">
        <f>[15]Summary!$J$11</f>
        <v>0</v>
      </c>
      <c r="AD19" s="6">
        <f>[15]Summary!$J$12</f>
        <v>0</v>
      </c>
      <c r="AE19" s="6">
        <f>[15]Summary!$J$13</f>
        <v>0</v>
      </c>
      <c r="AF19" s="6">
        <f>[15]Summary!$J$14</f>
        <v>0</v>
      </c>
      <c r="AG19" s="6">
        <f>[15]Summary!$J$15</f>
        <v>0</v>
      </c>
    </row>
    <row r="20" spans="2:33" s="3" customFormat="1" ht="12" x14ac:dyDescent="0.3">
      <c r="B20" s="6">
        <v>16</v>
      </c>
      <c r="C20" s="14" t="str">
        <f>[16]Summary!$B$7</f>
        <v>WDT</v>
      </c>
      <c r="D20" s="6">
        <f>[16]Summary!$E$11</f>
        <v>0</v>
      </c>
      <c r="E20" s="6">
        <f>[16]Summary!$E$12</f>
        <v>0</v>
      </c>
      <c r="F20" s="6">
        <f>[16]Summary!$E$13</f>
        <v>0</v>
      </c>
      <c r="G20" s="6">
        <f>[16]Summary!$E$14</f>
        <v>0</v>
      </c>
      <c r="H20" s="6">
        <f>[16]Summary!$E$15</f>
        <v>0</v>
      </c>
      <c r="I20" s="6">
        <f>[16]Summary!$F$11</f>
        <v>0</v>
      </c>
      <c r="J20" s="6">
        <f>[16]Summary!$F$12</f>
        <v>0</v>
      </c>
      <c r="K20" s="6">
        <f>[16]Summary!$F$13</f>
        <v>0</v>
      </c>
      <c r="L20" s="6">
        <f>[16]Summary!$F$14</f>
        <v>0</v>
      </c>
      <c r="M20" s="6">
        <f>[16]Summary!$F$15</f>
        <v>0</v>
      </c>
      <c r="N20" s="6">
        <f>[16]Summary!$G$11</f>
        <v>0</v>
      </c>
      <c r="O20" s="6">
        <f>[16]Summary!$G$12</f>
        <v>0</v>
      </c>
      <c r="P20" s="6">
        <f>[16]Summary!$G$13</f>
        <v>0</v>
      </c>
      <c r="Q20" s="6">
        <f>[16]Summary!$G$14</f>
        <v>0</v>
      </c>
      <c r="R20" s="6">
        <f>[16]Summary!$G$15</f>
        <v>0</v>
      </c>
      <c r="S20" s="6">
        <f>[16]Summary!$H$11</f>
        <v>0</v>
      </c>
      <c r="T20" s="6">
        <f>[16]Summary!$H$12</f>
        <v>0</v>
      </c>
      <c r="U20" s="6">
        <f>[16]Summary!$H$13</f>
        <v>0</v>
      </c>
      <c r="V20" s="6">
        <f>[16]Summary!$H$14</f>
        <v>0</v>
      </c>
      <c r="W20" s="6">
        <f>[16]Summary!$H$15</f>
        <v>0</v>
      </c>
      <c r="X20" s="6">
        <f>[16]Summary!$I$11</f>
        <v>0</v>
      </c>
      <c r="Y20" s="6">
        <f>[16]Summary!$I$12</f>
        <v>0</v>
      </c>
      <c r="Z20" s="6">
        <f>[16]Summary!$I$13</f>
        <v>0</v>
      </c>
      <c r="AA20" s="6">
        <f>[16]Summary!$I$14</f>
        <v>0</v>
      </c>
      <c r="AB20" s="6">
        <f>[16]Summary!$I$15</f>
        <v>0</v>
      </c>
      <c r="AC20" s="6">
        <f>[16]Summary!$J$11</f>
        <v>0</v>
      </c>
      <c r="AD20" s="6">
        <f>[16]Summary!$J$12</f>
        <v>0</v>
      </c>
      <c r="AE20" s="6">
        <f>[16]Summary!$J$13</f>
        <v>0</v>
      </c>
      <c r="AF20" s="6">
        <f>[16]Summary!$J$14</f>
        <v>0</v>
      </c>
      <c r="AG20" s="6">
        <f>[16]Summary!$J$15</f>
        <v>0</v>
      </c>
    </row>
    <row r="21" spans="2:33" s="3" customFormat="1" ht="12" x14ac:dyDescent="0.3">
      <c r="B21" s="6">
        <v>17</v>
      </c>
      <c r="C21" s="14" t="str">
        <f>[17]Summary!$B$7</f>
        <v>UART</v>
      </c>
      <c r="D21" s="6">
        <f>[17]Summary!$E$11</f>
        <v>0</v>
      </c>
      <c r="E21" s="6">
        <f>[17]Summary!$E$12</f>
        <v>0</v>
      </c>
      <c r="F21" s="6">
        <f>[17]Summary!$E$13</f>
        <v>0</v>
      </c>
      <c r="G21" s="6">
        <f>[17]Summary!$E$14</f>
        <v>0</v>
      </c>
      <c r="H21" s="6">
        <f>[17]Summary!$E$15</f>
        <v>0</v>
      </c>
      <c r="I21" s="6">
        <f>[17]Summary!$F$11</f>
        <v>0</v>
      </c>
      <c r="J21" s="6">
        <f>[17]Summary!$F$12</f>
        <v>0</v>
      </c>
      <c r="K21" s="6">
        <f>[17]Summary!$F$13</f>
        <v>0</v>
      </c>
      <c r="L21" s="6">
        <f>[17]Summary!$F$14</f>
        <v>0</v>
      </c>
      <c r="M21" s="6">
        <f>[17]Summary!$F$15</f>
        <v>0</v>
      </c>
      <c r="N21" s="6">
        <f>[17]Summary!$G$11</f>
        <v>0</v>
      </c>
      <c r="O21" s="6">
        <f>[17]Summary!$G$12</f>
        <v>0</v>
      </c>
      <c r="P21" s="6">
        <f>[17]Summary!$G$13</f>
        <v>0</v>
      </c>
      <c r="Q21" s="6">
        <f>[17]Summary!$G$14</f>
        <v>0</v>
      </c>
      <c r="R21" s="6">
        <f>[17]Summary!$G$15</f>
        <v>0</v>
      </c>
      <c r="S21" s="6">
        <f>[17]Summary!$H$11</f>
        <v>0</v>
      </c>
      <c r="T21" s="6">
        <f>[17]Summary!$H$12</f>
        <v>0</v>
      </c>
      <c r="U21" s="6">
        <f>[17]Summary!$H$13</f>
        <v>0</v>
      </c>
      <c r="V21" s="6">
        <f>[17]Summary!$H$14</f>
        <v>0</v>
      </c>
      <c r="W21" s="6">
        <f>[17]Summary!$H$15</f>
        <v>0</v>
      </c>
      <c r="X21" s="6">
        <f>[17]Summary!$I$11</f>
        <v>0</v>
      </c>
      <c r="Y21" s="6">
        <f>[17]Summary!$I$12</f>
        <v>0</v>
      </c>
      <c r="Z21" s="6">
        <f>[17]Summary!$I$13</f>
        <v>0</v>
      </c>
      <c r="AA21" s="6">
        <f>[17]Summary!$I$14</f>
        <v>0</v>
      </c>
      <c r="AB21" s="6">
        <f>[17]Summary!$I$15</f>
        <v>0</v>
      </c>
      <c r="AC21" s="6">
        <f>[17]Summary!$J$11</f>
        <v>0</v>
      </c>
      <c r="AD21" s="6">
        <f>[17]Summary!$J$12</f>
        <v>0</v>
      </c>
      <c r="AE21" s="6">
        <f>[17]Summary!$J$13</f>
        <v>0</v>
      </c>
      <c r="AF21" s="6">
        <f>[17]Summary!$J$14</f>
        <v>0</v>
      </c>
      <c r="AG21" s="6">
        <f>[17]Summary!$J$15</f>
        <v>0</v>
      </c>
    </row>
    <row r="22" spans="2:33" s="3" customFormat="1" ht="12" x14ac:dyDescent="0.3">
      <c r="B22" s="6">
        <v>18</v>
      </c>
      <c r="C22" s="14" t="str">
        <f>[18]Summary!$B$7</f>
        <v>SysCtrl: Clock</v>
      </c>
      <c r="D22" s="6">
        <f>[18]Summary!$E$11</f>
        <v>4</v>
      </c>
      <c r="E22" s="6">
        <f>[18]Summary!$E$12</f>
        <v>13</v>
      </c>
      <c r="F22" s="6">
        <f>[18]Summary!$E$13</f>
        <v>0</v>
      </c>
      <c r="G22" s="6">
        <f>[18]Summary!$E$14</f>
        <v>0</v>
      </c>
      <c r="H22" s="6">
        <f>[18]Summary!$E$15</f>
        <v>0</v>
      </c>
      <c r="I22" s="6">
        <f>[18]Summary!$F$11</f>
        <v>4</v>
      </c>
      <c r="J22" s="6">
        <f>[18]Summary!$F$12</f>
        <v>3</v>
      </c>
      <c r="K22" s="6">
        <f>[18]Summary!$F$13</f>
        <v>10</v>
      </c>
      <c r="L22" s="6">
        <f>[18]Summary!$F$14</f>
        <v>0</v>
      </c>
      <c r="M22" s="6">
        <f>[18]Summary!$F$15</f>
        <v>0</v>
      </c>
      <c r="N22" s="6">
        <f>[18]Summary!$G$11</f>
        <v>4</v>
      </c>
      <c r="O22" s="6">
        <f>[18]Summary!$G$12</f>
        <v>3</v>
      </c>
      <c r="P22" s="6">
        <f>[18]Summary!$G$13</f>
        <v>10</v>
      </c>
      <c r="Q22" s="6">
        <f>[18]Summary!$G$14</f>
        <v>0</v>
      </c>
      <c r="R22" s="6">
        <f>[18]Summary!$G$15</f>
        <v>0</v>
      </c>
      <c r="S22" s="6">
        <f>[18]Summary!$H$11</f>
        <v>3</v>
      </c>
      <c r="T22" s="6">
        <f>[18]Summary!$H$12</f>
        <v>0</v>
      </c>
      <c r="U22" s="6">
        <f>[18]Summary!$H$13</f>
        <v>0</v>
      </c>
      <c r="V22" s="6">
        <f>[18]Summary!$H$14</f>
        <v>0</v>
      </c>
      <c r="W22" s="6">
        <f>[18]Summary!$H$15</f>
        <v>0</v>
      </c>
      <c r="X22" s="6">
        <f>[18]Summary!$I$11</f>
        <v>4</v>
      </c>
      <c r="Y22" s="6">
        <f>[18]Summary!$I$12</f>
        <v>3</v>
      </c>
      <c r="Z22" s="6">
        <f>[18]Summary!$I$13</f>
        <v>10</v>
      </c>
      <c r="AA22" s="6">
        <f>[18]Summary!$I$14</f>
        <v>0</v>
      </c>
      <c r="AB22" s="6">
        <f>[18]Summary!$I$15</f>
        <v>0</v>
      </c>
      <c r="AC22" s="6">
        <f>[18]Summary!$J$11</f>
        <v>3</v>
      </c>
      <c r="AD22" s="6">
        <f>[18]Summary!$J$12</f>
        <v>0</v>
      </c>
      <c r="AE22" s="6">
        <f>[18]Summary!$J$13</f>
        <v>9</v>
      </c>
      <c r="AF22" s="6">
        <f>[18]Summary!$J$14</f>
        <v>0</v>
      </c>
      <c r="AG22" s="6">
        <f>[18]Summary!$J$15</f>
        <v>0</v>
      </c>
    </row>
    <row r="23" spans="2:33" s="3" customFormat="1" ht="12" x14ac:dyDescent="0.3">
      <c r="B23" s="6">
        <v>19</v>
      </c>
      <c r="C23" s="14" t="str">
        <f>[19]Summary!$B$7</f>
        <v>SysCtrl: Reset</v>
      </c>
      <c r="D23" s="6">
        <f>[19]Summary!$E$11</f>
        <v>4</v>
      </c>
      <c r="E23" s="6">
        <f>[19]Summary!$E$12</f>
        <v>11</v>
      </c>
      <c r="F23" s="6">
        <f>[19]Summary!$E$13</f>
        <v>0</v>
      </c>
      <c r="G23" s="6">
        <f>[19]Summary!$E$14</f>
        <v>0</v>
      </c>
      <c r="H23" s="6">
        <f>[19]Summary!$E$15</f>
        <v>0</v>
      </c>
      <c r="I23" s="6">
        <f>[19]Summary!$F$11</f>
        <v>4</v>
      </c>
      <c r="J23" s="6">
        <f>[19]Summary!$F$12</f>
        <v>8</v>
      </c>
      <c r="K23" s="6">
        <f>[19]Summary!$F$13</f>
        <v>4</v>
      </c>
      <c r="L23" s="6">
        <f>[19]Summary!$F$14</f>
        <v>0</v>
      </c>
      <c r="M23" s="6">
        <f>[19]Summary!$F$15</f>
        <v>0</v>
      </c>
      <c r="N23" s="6">
        <f>[19]Summary!$G$11</f>
        <v>4</v>
      </c>
      <c r="O23" s="6">
        <f>[19]Summary!$G$12</f>
        <v>8</v>
      </c>
      <c r="P23" s="6">
        <f>[19]Summary!$G$13</f>
        <v>5</v>
      </c>
      <c r="Q23" s="6">
        <f>[19]Summary!$G$14</f>
        <v>0</v>
      </c>
      <c r="R23" s="6">
        <f>[19]Summary!$G$15</f>
        <v>0</v>
      </c>
      <c r="S23" s="6">
        <f>[19]Summary!$H$11</f>
        <v>3</v>
      </c>
      <c r="T23" s="6">
        <f>[19]Summary!$H$12</f>
        <v>8</v>
      </c>
      <c r="U23" s="6">
        <f>[19]Summary!$H$13</f>
        <v>3</v>
      </c>
      <c r="V23" s="6">
        <f>[19]Summary!$H$14</f>
        <v>0</v>
      </c>
      <c r="W23" s="6">
        <f>[19]Summary!$H$15</f>
        <v>0</v>
      </c>
      <c r="X23" s="6">
        <f>[19]Summary!$I$11</f>
        <v>4</v>
      </c>
      <c r="Y23" s="6">
        <f>[19]Summary!$I$12</f>
        <v>8</v>
      </c>
      <c r="Z23" s="6">
        <f>[19]Summary!$I$13</f>
        <v>6</v>
      </c>
      <c r="AA23" s="6">
        <f>[19]Summary!$I$14</f>
        <v>0</v>
      </c>
      <c r="AB23" s="6">
        <f>[19]Summary!$I$15</f>
        <v>0</v>
      </c>
      <c r="AC23" s="6">
        <f>[19]Summary!$J$11</f>
        <v>3</v>
      </c>
      <c r="AD23" s="6">
        <f>[19]Summary!$J$12</f>
        <v>8</v>
      </c>
      <c r="AE23" s="6">
        <f>[19]Summary!$J$13</f>
        <v>6</v>
      </c>
      <c r="AF23" s="6">
        <f>[19]Summary!$J$14</f>
        <v>0</v>
      </c>
      <c r="AG23" s="6">
        <f>[19]Summary!$J$15</f>
        <v>0</v>
      </c>
    </row>
    <row r="24" spans="2:33" s="3" customFormat="1" ht="12" x14ac:dyDescent="0.3">
      <c r="B24" s="6">
        <v>20</v>
      </c>
      <c r="C24" s="14" t="str">
        <f>[20]Summary!$B$7</f>
        <v>eFuse Controller</v>
      </c>
      <c r="D24" s="6">
        <f>[20]Summary!$E$11</f>
        <v>0</v>
      </c>
      <c r="E24" s="6">
        <f>[20]Summary!$E$12</f>
        <v>0</v>
      </c>
      <c r="F24" s="6">
        <f>[20]Summary!$E$13</f>
        <v>0</v>
      </c>
      <c r="G24" s="6">
        <f>[20]Summary!$E$14</f>
        <v>0</v>
      </c>
      <c r="H24" s="6">
        <f>[20]Summary!$E$15</f>
        <v>0</v>
      </c>
      <c r="I24" s="6">
        <f>[20]Summary!$F$11</f>
        <v>0</v>
      </c>
      <c r="J24" s="6">
        <f>[20]Summary!$F$12</f>
        <v>0</v>
      </c>
      <c r="K24" s="6">
        <f>[20]Summary!$F$13</f>
        <v>0</v>
      </c>
      <c r="L24" s="6">
        <f>[20]Summary!$F$14</f>
        <v>0</v>
      </c>
      <c r="M24" s="6">
        <f>[20]Summary!$F$15</f>
        <v>0</v>
      </c>
      <c r="N24" s="6">
        <f>[20]Summary!$G$11</f>
        <v>0</v>
      </c>
      <c r="O24" s="6">
        <f>[20]Summary!$G$12</f>
        <v>0</v>
      </c>
      <c r="P24" s="6">
        <f>[20]Summary!$G$13</f>
        <v>0</v>
      </c>
      <c r="Q24" s="6">
        <f>[20]Summary!$G$14</f>
        <v>0</v>
      </c>
      <c r="R24" s="6">
        <f>[20]Summary!$G$15</f>
        <v>0</v>
      </c>
      <c r="S24" s="6">
        <f>[20]Summary!$H$11</f>
        <v>0</v>
      </c>
      <c r="T24" s="6">
        <f>[20]Summary!$H$12</f>
        <v>0</v>
      </c>
      <c r="U24" s="6">
        <f>[20]Summary!$H$13</f>
        <v>0</v>
      </c>
      <c r="V24" s="6">
        <f>[20]Summary!$H$14</f>
        <v>0</v>
      </c>
      <c r="W24" s="6">
        <f>[20]Summary!$H$15</f>
        <v>0</v>
      </c>
      <c r="X24" s="6">
        <f>[20]Summary!$I$11</f>
        <v>0</v>
      </c>
      <c r="Y24" s="6">
        <f>[20]Summary!$I$12</f>
        <v>0</v>
      </c>
      <c r="Z24" s="6">
        <f>[20]Summary!$I$13</f>
        <v>0</v>
      </c>
      <c r="AA24" s="6">
        <f>[20]Summary!$I$14</f>
        <v>0</v>
      </c>
      <c r="AB24" s="6">
        <f>[20]Summary!$I$15</f>
        <v>0</v>
      </c>
      <c r="AC24" s="6">
        <f>[20]Summary!$J$11</f>
        <v>0</v>
      </c>
      <c r="AD24" s="6">
        <f>[20]Summary!$J$12</f>
        <v>0</v>
      </c>
      <c r="AE24" s="6">
        <f>[20]Summary!$J$13</f>
        <v>0</v>
      </c>
      <c r="AF24" s="6">
        <f>[20]Summary!$J$14</f>
        <v>0</v>
      </c>
      <c r="AG24" s="6">
        <f>[20]Summary!$J$15</f>
        <v>0</v>
      </c>
    </row>
    <row r="25" spans="2:33" s="3" customFormat="1" ht="12" x14ac:dyDescent="0.3">
      <c r="B25" s="6">
        <v>21</v>
      </c>
      <c r="C25" s="14" t="str">
        <f>[21]Summary!$B$7</f>
        <v>M-PHY</v>
      </c>
      <c r="D25" s="6">
        <f>[21]Summary!$E$11</f>
        <v>0</v>
      </c>
      <c r="E25" s="6">
        <f>[21]Summary!$E$12</f>
        <v>0</v>
      </c>
      <c r="F25" s="6">
        <f>[21]Summary!$E$13</f>
        <v>0</v>
      </c>
      <c r="G25" s="6">
        <f>[21]Summary!$E$14</f>
        <v>0</v>
      </c>
      <c r="H25" s="6">
        <f>[21]Summary!$E$15</f>
        <v>0</v>
      </c>
      <c r="I25" s="6">
        <f>[21]Summary!$F$11</f>
        <v>0</v>
      </c>
      <c r="J25" s="6">
        <f>[21]Summary!$F$12</f>
        <v>0</v>
      </c>
      <c r="K25" s="6">
        <f>[21]Summary!$F$13</f>
        <v>0</v>
      </c>
      <c r="L25" s="6">
        <f>[21]Summary!$F$14</f>
        <v>0</v>
      </c>
      <c r="M25" s="6">
        <f>[21]Summary!$F$15</f>
        <v>0</v>
      </c>
      <c r="N25" s="6">
        <f>[21]Summary!$G$11</f>
        <v>0</v>
      </c>
      <c r="O25" s="6">
        <f>[21]Summary!$G$12</f>
        <v>0</v>
      </c>
      <c r="P25" s="6">
        <f>[21]Summary!$G$13</f>
        <v>0</v>
      </c>
      <c r="Q25" s="6">
        <f>[21]Summary!$G$14</f>
        <v>0</v>
      </c>
      <c r="R25" s="6">
        <f>[21]Summary!$G$15</f>
        <v>0</v>
      </c>
      <c r="S25" s="6">
        <f>[21]Summary!$H$11</f>
        <v>0</v>
      </c>
      <c r="T25" s="6">
        <f>[21]Summary!$H$12</f>
        <v>0</v>
      </c>
      <c r="U25" s="6">
        <f>[21]Summary!$H$13</f>
        <v>0</v>
      </c>
      <c r="V25" s="6">
        <f>[21]Summary!$H$14</f>
        <v>0</v>
      </c>
      <c r="W25" s="6">
        <f>[21]Summary!$H$15</f>
        <v>0</v>
      </c>
      <c r="X25" s="6">
        <f>[21]Summary!$I$11</f>
        <v>0</v>
      </c>
      <c r="Y25" s="6">
        <f>[21]Summary!$I$12</f>
        <v>0</v>
      </c>
      <c r="Z25" s="6">
        <f>[21]Summary!$I$13</f>
        <v>0</v>
      </c>
      <c r="AA25" s="6">
        <f>[21]Summary!$I$14</f>
        <v>0</v>
      </c>
      <c r="AB25" s="6">
        <f>[21]Summary!$I$15</f>
        <v>0</v>
      </c>
      <c r="AC25" s="6">
        <f>[21]Summary!$J$11</f>
        <v>0</v>
      </c>
      <c r="AD25" s="6">
        <f>[21]Summary!$J$12</f>
        <v>0</v>
      </c>
      <c r="AE25" s="6">
        <f>[21]Summary!$J$13</f>
        <v>0</v>
      </c>
      <c r="AF25" s="6">
        <f>[21]Summary!$J$14</f>
        <v>0</v>
      </c>
      <c r="AG25" s="6">
        <f>[21]Summary!$J$15</f>
        <v>0</v>
      </c>
    </row>
    <row r="26" spans="2:33" s="3" customFormat="1" ht="12" x14ac:dyDescent="0.3">
      <c r="B26" s="6">
        <v>22</v>
      </c>
      <c r="C26" s="14" t="str">
        <f>[22]Summary!$B$7</f>
        <v>Nand PHY</v>
      </c>
      <c r="D26" s="6">
        <f>[22]Summary!$E$11</f>
        <v>0</v>
      </c>
      <c r="E26" s="6">
        <f>[22]Summary!$E$12</f>
        <v>0</v>
      </c>
      <c r="F26" s="6">
        <f>[22]Summary!$E$13</f>
        <v>0</v>
      </c>
      <c r="G26" s="6">
        <f>[22]Summary!$E$14</f>
        <v>0</v>
      </c>
      <c r="H26" s="6">
        <f>[22]Summary!$E$15</f>
        <v>0</v>
      </c>
      <c r="I26" s="6">
        <f>[22]Summary!$F$11</f>
        <v>0</v>
      </c>
      <c r="J26" s="6">
        <f>[22]Summary!$F$12</f>
        <v>0</v>
      </c>
      <c r="K26" s="6">
        <f>[22]Summary!$F$13</f>
        <v>0</v>
      </c>
      <c r="L26" s="6">
        <f>[22]Summary!$F$14</f>
        <v>0</v>
      </c>
      <c r="M26" s="6">
        <f>[22]Summary!$F$15</f>
        <v>0</v>
      </c>
      <c r="N26" s="6">
        <f>[22]Summary!$G$11</f>
        <v>0</v>
      </c>
      <c r="O26" s="6">
        <f>[22]Summary!$G$12</f>
        <v>0</v>
      </c>
      <c r="P26" s="6">
        <f>[22]Summary!$G$13</f>
        <v>0</v>
      </c>
      <c r="Q26" s="6">
        <f>[22]Summary!$G$14</f>
        <v>0</v>
      </c>
      <c r="R26" s="6">
        <f>[22]Summary!$G$15</f>
        <v>0</v>
      </c>
      <c r="S26" s="6">
        <f>[22]Summary!$H$11</f>
        <v>0</v>
      </c>
      <c r="T26" s="6">
        <f>[22]Summary!$H$12</f>
        <v>0</v>
      </c>
      <c r="U26" s="6">
        <f>[22]Summary!$H$13</f>
        <v>0</v>
      </c>
      <c r="V26" s="6">
        <f>[22]Summary!$H$14</f>
        <v>0</v>
      </c>
      <c r="W26" s="6">
        <f>[22]Summary!$H$15</f>
        <v>0</v>
      </c>
      <c r="X26" s="6">
        <f>[22]Summary!$I$11</f>
        <v>0</v>
      </c>
      <c r="Y26" s="6">
        <f>[22]Summary!$I$12</f>
        <v>0</v>
      </c>
      <c r="Z26" s="6">
        <f>[22]Summary!$I$13</f>
        <v>0</v>
      </c>
      <c r="AA26" s="6">
        <f>[22]Summary!$I$14</f>
        <v>0</v>
      </c>
      <c r="AB26" s="6">
        <f>[22]Summary!$I$15</f>
        <v>0</v>
      </c>
      <c r="AC26" s="6">
        <f>[22]Summary!$J$11</f>
        <v>0</v>
      </c>
      <c r="AD26" s="6">
        <f>[22]Summary!$J$12</f>
        <v>0</v>
      </c>
      <c r="AE26" s="6">
        <f>[22]Summary!$J$13</f>
        <v>0</v>
      </c>
      <c r="AF26" s="6">
        <f>[22]Summary!$J$14</f>
        <v>0</v>
      </c>
      <c r="AG26" s="6">
        <f>[22]Summary!$J$15</f>
        <v>0</v>
      </c>
    </row>
    <row r="27" spans="2:33" s="3" customFormat="1" ht="12" x14ac:dyDescent="0.3">
      <c r="B27" s="6">
        <v>23</v>
      </c>
      <c r="C27" s="14" t="str">
        <f>[23]Summary!$B$7</f>
        <v>Nand IO</v>
      </c>
      <c r="D27" s="6">
        <f>[23]Summary!$E$11</f>
        <v>0</v>
      </c>
      <c r="E27" s="6">
        <f>[23]Summary!$E$12</f>
        <v>0</v>
      </c>
      <c r="F27" s="6">
        <f>[23]Summary!$E$13</f>
        <v>0</v>
      </c>
      <c r="G27" s="6">
        <f>[23]Summary!$E$14</f>
        <v>0</v>
      </c>
      <c r="H27" s="6">
        <f>[23]Summary!$E$15</f>
        <v>0</v>
      </c>
      <c r="I27" s="6">
        <f>[23]Summary!$F$11</f>
        <v>0</v>
      </c>
      <c r="J27" s="6">
        <f>[23]Summary!$F$12</f>
        <v>0</v>
      </c>
      <c r="K27" s="6">
        <f>[23]Summary!$F$13</f>
        <v>0</v>
      </c>
      <c r="L27" s="6">
        <f>[23]Summary!$F$14</f>
        <v>0</v>
      </c>
      <c r="M27" s="6">
        <f>[23]Summary!$F$15</f>
        <v>0</v>
      </c>
      <c r="N27" s="6">
        <f>[23]Summary!$G$11</f>
        <v>0</v>
      </c>
      <c r="O27" s="6">
        <f>[23]Summary!$G$12</f>
        <v>0</v>
      </c>
      <c r="P27" s="6">
        <f>[23]Summary!$G$13</f>
        <v>0</v>
      </c>
      <c r="Q27" s="6">
        <f>[23]Summary!$G$14</f>
        <v>0</v>
      </c>
      <c r="R27" s="6">
        <f>[23]Summary!$G$15</f>
        <v>0</v>
      </c>
      <c r="S27" s="6">
        <f>[23]Summary!$H$11</f>
        <v>0</v>
      </c>
      <c r="T27" s="6">
        <f>[23]Summary!$H$12</f>
        <v>0</v>
      </c>
      <c r="U27" s="6">
        <f>[23]Summary!$H$13</f>
        <v>0</v>
      </c>
      <c r="V27" s="6">
        <f>[23]Summary!$H$14</f>
        <v>0</v>
      </c>
      <c r="W27" s="6">
        <f>[23]Summary!$H$15</f>
        <v>0</v>
      </c>
      <c r="X27" s="6">
        <f>[23]Summary!$I$11</f>
        <v>0</v>
      </c>
      <c r="Y27" s="6">
        <f>[23]Summary!$I$12</f>
        <v>0</v>
      </c>
      <c r="Z27" s="6">
        <f>[23]Summary!$I$13</f>
        <v>0</v>
      </c>
      <c r="AA27" s="6">
        <f>[23]Summary!$I$14</f>
        <v>0</v>
      </c>
      <c r="AB27" s="6">
        <f>[23]Summary!$I$15</f>
        <v>0</v>
      </c>
      <c r="AC27" s="6">
        <f>[23]Summary!$J$11</f>
        <v>0</v>
      </c>
      <c r="AD27" s="6">
        <f>[23]Summary!$J$12</f>
        <v>0</v>
      </c>
      <c r="AE27" s="6">
        <f>[23]Summary!$J$13</f>
        <v>0</v>
      </c>
      <c r="AF27" s="6">
        <f>[23]Summary!$J$14</f>
        <v>0</v>
      </c>
      <c r="AG27" s="6">
        <f>[23]Summary!$J$15</f>
        <v>0</v>
      </c>
    </row>
    <row r="28" spans="2:33" s="3" customFormat="1" ht="12" x14ac:dyDescent="0.3">
      <c r="B28" s="6">
        <v>24</v>
      </c>
      <c r="C28" s="14" t="str">
        <f>[24]Summary!$B$7</f>
        <v>I/O Mux</v>
      </c>
      <c r="D28" s="6">
        <f>[24]Summary!$E$11</f>
        <v>0</v>
      </c>
      <c r="E28" s="6">
        <f>[24]Summary!$E$12</f>
        <v>0</v>
      </c>
      <c r="F28" s="6">
        <f>[24]Summary!$E$13</f>
        <v>0</v>
      </c>
      <c r="G28" s="6">
        <f>[24]Summary!$E$14</f>
        <v>0</v>
      </c>
      <c r="H28" s="6">
        <f>[24]Summary!$E$15</f>
        <v>0</v>
      </c>
      <c r="I28" s="6">
        <f>[24]Summary!$F$11</f>
        <v>0</v>
      </c>
      <c r="J28" s="6">
        <f>[24]Summary!$F$12</f>
        <v>0</v>
      </c>
      <c r="K28" s="6">
        <f>[24]Summary!$F$13</f>
        <v>0</v>
      </c>
      <c r="L28" s="6">
        <f>[24]Summary!$F$14</f>
        <v>0</v>
      </c>
      <c r="M28" s="6">
        <f>[24]Summary!$F$15</f>
        <v>0</v>
      </c>
      <c r="N28" s="6">
        <f>[24]Summary!$G$11</f>
        <v>0</v>
      </c>
      <c r="O28" s="6">
        <f>[24]Summary!$G$12</f>
        <v>0</v>
      </c>
      <c r="P28" s="6">
        <f>[24]Summary!$G$13</f>
        <v>0</v>
      </c>
      <c r="Q28" s="6">
        <f>[24]Summary!$G$14</f>
        <v>0</v>
      </c>
      <c r="R28" s="6">
        <f>[24]Summary!$G$15</f>
        <v>0</v>
      </c>
      <c r="S28" s="6">
        <f>[24]Summary!$H$11</f>
        <v>0</v>
      </c>
      <c r="T28" s="6">
        <f>[24]Summary!$H$12</f>
        <v>0</v>
      </c>
      <c r="U28" s="6">
        <f>[24]Summary!$H$13</f>
        <v>0</v>
      </c>
      <c r="V28" s="6">
        <f>[24]Summary!$H$14</f>
        <v>0</v>
      </c>
      <c r="W28" s="6">
        <f>[24]Summary!$H$15</f>
        <v>0</v>
      </c>
      <c r="X28" s="6">
        <f>[24]Summary!$I$11</f>
        <v>0</v>
      </c>
      <c r="Y28" s="6">
        <f>[24]Summary!$I$12</f>
        <v>0</v>
      </c>
      <c r="Z28" s="6">
        <f>[24]Summary!$I$13</f>
        <v>0</v>
      </c>
      <c r="AA28" s="6">
        <f>[24]Summary!$I$14</f>
        <v>0</v>
      </c>
      <c r="AB28" s="6">
        <f>[24]Summary!$I$15</f>
        <v>0</v>
      </c>
      <c r="AC28" s="6">
        <f>[24]Summary!$J$11</f>
        <v>0</v>
      </c>
      <c r="AD28" s="6">
        <f>[24]Summary!$J$12</f>
        <v>0</v>
      </c>
      <c r="AE28" s="6">
        <f>[24]Summary!$J$13</f>
        <v>0</v>
      </c>
      <c r="AF28" s="6">
        <f>[24]Summary!$J$14</f>
        <v>0</v>
      </c>
      <c r="AG28" s="6">
        <f>[24]Summary!$J$15</f>
        <v>0</v>
      </c>
    </row>
    <row r="29" spans="2:33" s="3" customFormat="1" ht="12" x14ac:dyDescent="0.3">
      <c r="B29" s="6">
        <v>25</v>
      </c>
      <c r="C29" s="14" t="str">
        <f>[25]Summary!$B$7</f>
        <v>HW Bypass</v>
      </c>
      <c r="D29" s="6">
        <f>[25]Summary!$E$11</f>
        <v>0</v>
      </c>
      <c r="E29" s="6">
        <f>[25]Summary!$E$12</f>
        <v>0</v>
      </c>
      <c r="F29" s="6">
        <f>[25]Summary!$E$13</f>
        <v>0</v>
      </c>
      <c r="G29" s="6">
        <f>[25]Summary!$E$14</f>
        <v>0</v>
      </c>
      <c r="H29" s="6">
        <f>[25]Summary!$E$15</f>
        <v>0</v>
      </c>
      <c r="I29" s="6">
        <f>[25]Summary!$F$11</f>
        <v>0</v>
      </c>
      <c r="J29" s="6">
        <f>[25]Summary!$F$12</f>
        <v>0</v>
      </c>
      <c r="K29" s="6">
        <f>[25]Summary!$F$13</f>
        <v>0</v>
      </c>
      <c r="L29" s="6">
        <f>[25]Summary!$F$14</f>
        <v>0</v>
      </c>
      <c r="M29" s="6">
        <f>[25]Summary!$F$15</f>
        <v>0</v>
      </c>
      <c r="N29" s="6">
        <f>[25]Summary!$G$11</f>
        <v>0</v>
      </c>
      <c r="O29" s="6">
        <f>[25]Summary!$G$12</f>
        <v>0</v>
      </c>
      <c r="P29" s="6">
        <f>[25]Summary!$G$13</f>
        <v>0</v>
      </c>
      <c r="Q29" s="6">
        <f>[25]Summary!$G$14</f>
        <v>0</v>
      </c>
      <c r="R29" s="6">
        <f>[25]Summary!$G$15</f>
        <v>0</v>
      </c>
      <c r="S29" s="6">
        <f>[25]Summary!$H$11</f>
        <v>0</v>
      </c>
      <c r="T29" s="6">
        <f>[25]Summary!$H$12</f>
        <v>0</v>
      </c>
      <c r="U29" s="6">
        <f>[25]Summary!$H$13</f>
        <v>0</v>
      </c>
      <c r="V29" s="6">
        <f>[25]Summary!$H$14</f>
        <v>0</v>
      </c>
      <c r="W29" s="6">
        <f>[25]Summary!$H$15</f>
        <v>0</v>
      </c>
      <c r="X29" s="6">
        <f>[25]Summary!$I$11</f>
        <v>0</v>
      </c>
      <c r="Y29" s="6">
        <f>[25]Summary!$I$12</f>
        <v>0</v>
      </c>
      <c r="Z29" s="6">
        <f>[25]Summary!$I$13</f>
        <v>0</v>
      </c>
      <c r="AA29" s="6">
        <f>[25]Summary!$I$14</f>
        <v>0</v>
      </c>
      <c r="AB29" s="6">
        <f>[25]Summary!$I$15</f>
        <v>0</v>
      </c>
      <c r="AC29" s="6">
        <f>[25]Summary!$J$11</f>
        <v>0</v>
      </c>
      <c r="AD29" s="6">
        <f>[25]Summary!$J$12</f>
        <v>0</v>
      </c>
      <c r="AE29" s="6">
        <f>[25]Summary!$J$13</f>
        <v>0</v>
      </c>
      <c r="AF29" s="6">
        <f>[25]Summary!$J$14</f>
        <v>0</v>
      </c>
      <c r="AG29" s="6">
        <f>[25]Summary!$J$15</f>
        <v>0</v>
      </c>
    </row>
    <row r="30" spans="2:33" s="3" customFormat="1" ht="12" x14ac:dyDescent="0.3">
      <c r="B30" s="6">
        <v>27</v>
      </c>
      <c r="C30" s="14" t="str">
        <f>[26]Summary!$B$7</f>
        <v>End to End</v>
      </c>
      <c r="D30" s="6">
        <f>[26]Summary!$E$11</f>
        <v>0</v>
      </c>
      <c r="E30" s="6">
        <f>[26]Summary!$E$12</f>
        <v>0</v>
      </c>
      <c r="F30" s="6">
        <f>[26]Summary!$E$13</f>
        <v>0</v>
      </c>
      <c r="G30" s="6">
        <f>[26]Summary!$E$14</f>
        <v>0</v>
      </c>
      <c r="H30" s="6">
        <f>[26]Summary!$E$15</f>
        <v>0</v>
      </c>
      <c r="I30" s="6">
        <f>[26]Summary!$F$11</f>
        <v>0</v>
      </c>
      <c r="J30" s="6">
        <f>[26]Summary!$F$12</f>
        <v>0</v>
      </c>
      <c r="K30" s="6">
        <f>[26]Summary!$F$13</f>
        <v>0</v>
      </c>
      <c r="L30" s="6">
        <f>[26]Summary!$F$14</f>
        <v>0</v>
      </c>
      <c r="M30" s="6">
        <f>[26]Summary!$F$15</f>
        <v>0</v>
      </c>
      <c r="N30" s="6">
        <f>[26]Summary!$G$11</f>
        <v>0</v>
      </c>
      <c r="O30" s="6">
        <f>[26]Summary!$G$12</f>
        <v>0</v>
      </c>
      <c r="P30" s="6">
        <f>[26]Summary!$G$13</f>
        <v>0</v>
      </c>
      <c r="Q30" s="6">
        <f>[26]Summary!$G$14</f>
        <v>0</v>
      </c>
      <c r="R30" s="6">
        <f>[26]Summary!$G$15</f>
        <v>0</v>
      </c>
      <c r="S30" s="6">
        <f>[26]Summary!$H$11</f>
        <v>0</v>
      </c>
      <c r="T30" s="6">
        <f>[26]Summary!$H$12</f>
        <v>0</v>
      </c>
      <c r="U30" s="6">
        <f>[26]Summary!$H$13</f>
        <v>0</v>
      </c>
      <c r="V30" s="6">
        <f>[26]Summary!$H$14</f>
        <v>0</v>
      </c>
      <c r="W30" s="6">
        <f>[26]Summary!$H$15</f>
        <v>0</v>
      </c>
      <c r="X30" s="6">
        <f>[26]Summary!$I$11</f>
        <v>0</v>
      </c>
      <c r="Y30" s="6">
        <f>[26]Summary!$I$12</f>
        <v>0</v>
      </c>
      <c r="Z30" s="6">
        <f>[26]Summary!$I$13</f>
        <v>0</v>
      </c>
      <c r="AA30" s="6">
        <f>[26]Summary!$I$14</f>
        <v>0</v>
      </c>
      <c r="AB30" s="6">
        <f>[26]Summary!$I$15</f>
        <v>0</v>
      </c>
      <c r="AC30" s="6">
        <f>[26]Summary!$J$11</f>
        <v>0</v>
      </c>
      <c r="AD30" s="6">
        <f>[26]Summary!$J$12</f>
        <v>0</v>
      </c>
      <c r="AE30" s="6">
        <f>[26]Summary!$J$13</f>
        <v>0</v>
      </c>
      <c r="AF30" s="6">
        <f>[26]Summary!$J$14</f>
        <v>0</v>
      </c>
      <c r="AG30" s="6">
        <f>[26]Summary!$J$15</f>
        <v>0</v>
      </c>
    </row>
    <row r="31" spans="2:33" s="3" customFormat="1" ht="16.5" customHeight="1" x14ac:dyDescent="0.3">
      <c r="B31" s="145" t="s">
        <v>24</v>
      </c>
      <c r="C31" s="145"/>
      <c r="D31" s="19">
        <f t="shared" ref="D31:AG31" si="0">SUM(D5:D30)</f>
        <v>46</v>
      </c>
      <c r="E31" s="103">
        <f t="shared" si="0"/>
        <v>533</v>
      </c>
      <c r="F31" s="103">
        <f t="shared" si="0"/>
        <v>62</v>
      </c>
      <c r="G31" s="103">
        <f t="shared" si="0"/>
        <v>26</v>
      </c>
      <c r="H31" s="103">
        <f t="shared" si="0"/>
        <v>11</v>
      </c>
      <c r="I31" s="103">
        <f t="shared" si="0"/>
        <v>22</v>
      </c>
      <c r="J31" s="103">
        <f t="shared" si="0"/>
        <v>68</v>
      </c>
      <c r="K31" s="103">
        <f t="shared" si="0"/>
        <v>176</v>
      </c>
      <c r="L31" s="103">
        <f t="shared" si="0"/>
        <v>14</v>
      </c>
      <c r="M31" s="103">
        <f t="shared" si="0"/>
        <v>1</v>
      </c>
      <c r="N31" s="103">
        <f t="shared" si="0"/>
        <v>30</v>
      </c>
      <c r="O31" s="19">
        <f t="shared" si="0"/>
        <v>276</v>
      </c>
      <c r="P31" s="19">
        <f t="shared" si="0"/>
        <v>163</v>
      </c>
      <c r="Q31" s="19">
        <f t="shared" si="0"/>
        <v>12</v>
      </c>
      <c r="R31" s="19">
        <f t="shared" si="0"/>
        <v>2</v>
      </c>
      <c r="S31" s="19">
        <f t="shared" si="0"/>
        <v>25</v>
      </c>
      <c r="T31" s="19">
        <f t="shared" si="0"/>
        <v>278</v>
      </c>
      <c r="U31" s="19">
        <f t="shared" si="0"/>
        <v>119</v>
      </c>
      <c r="V31" s="19">
        <f t="shared" si="0"/>
        <v>5</v>
      </c>
      <c r="W31" s="19">
        <f t="shared" si="0"/>
        <v>2</v>
      </c>
      <c r="X31" s="19">
        <f t="shared" si="0"/>
        <v>18</v>
      </c>
      <c r="Y31" s="19">
        <f t="shared" si="0"/>
        <v>21</v>
      </c>
      <c r="Z31" s="19">
        <f t="shared" si="0"/>
        <v>153</v>
      </c>
      <c r="AA31" s="19">
        <f t="shared" si="0"/>
        <v>0</v>
      </c>
      <c r="AB31" s="19">
        <f t="shared" si="0"/>
        <v>0</v>
      </c>
      <c r="AC31" s="19">
        <f t="shared" si="0"/>
        <v>23</v>
      </c>
      <c r="AD31" s="19">
        <f t="shared" si="0"/>
        <v>260</v>
      </c>
      <c r="AE31" s="19">
        <f t="shared" si="0"/>
        <v>176</v>
      </c>
      <c r="AF31" s="19">
        <f t="shared" si="0"/>
        <v>2</v>
      </c>
      <c r="AG31" s="19">
        <f t="shared" si="0"/>
        <v>2</v>
      </c>
    </row>
    <row r="33" spans="2:8" x14ac:dyDescent="0.3">
      <c r="B33" s="145" t="s">
        <v>52</v>
      </c>
      <c r="C33" s="145"/>
      <c r="D33" s="105">
        <f>D31+I31+N31+S31+X31+AC31</f>
        <v>164</v>
      </c>
      <c r="E33" s="105">
        <f t="shared" ref="E33:H33" si="1">E31+J31+O31+T31+Y31+AD31</f>
        <v>1436</v>
      </c>
      <c r="F33" s="105">
        <f t="shared" si="1"/>
        <v>849</v>
      </c>
      <c r="G33" s="105">
        <f t="shared" si="1"/>
        <v>59</v>
      </c>
      <c r="H33" s="105">
        <f t="shared" si="1"/>
        <v>18</v>
      </c>
    </row>
  </sheetData>
  <mergeCells count="11">
    <mergeCell ref="B33:C33"/>
    <mergeCell ref="AC3:AG3"/>
    <mergeCell ref="D2:AG2"/>
    <mergeCell ref="D3:H3"/>
    <mergeCell ref="N3:R3"/>
    <mergeCell ref="I3:M3"/>
    <mergeCell ref="S3:W3"/>
    <mergeCell ref="B31:C31"/>
    <mergeCell ref="C2:C4"/>
    <mergeCell ref="B2:B4"/>
    <mergeCell ref="X3:AB3"/>
  </mergeCells>
  <phoneticPr fontId="1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1" shapeId="10243" r:id="rId3">
          <objectPr defaultSize="0" autoPict="0" r:id="rId4">
            <anchor moveWithCells="1">
              <from>
                <xdr:col>33</xdr:col>
                <xdr:colOff>66675</xdr:colOff>
                <xdr:row>1</xdr:row>
                <xdr:rowOff>9525</xdr:rowOff>
              </from>
              <to>
                <xdr:col>34</xdr:col>
                <xdr:colOff>571500</xdr:colOff>
                <xdr:row>3</xdr:row>
                <xdr:rowOff>266700</xdr:rowOff>
              </to>
            </anchor>
          </objectPr>
        </oleObject>
      </mc:Choice>
      <mc:Fallback>
        <oleObject progId="Visio.Drawing.11" shapeId="10243" r:id="rId3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E28"/>
  <sheetViews>
    <sheetView showGridLines="0" workbookViewId="0">
      <selection activeCell="D9" sqref="D9"/>
    </sheetView>
  </sheetViews>
  <sheetFormatPr defaultRowHeight="16.5" x14ac:dyDescent="0.3"/>
  <cols>
    <col min="3" max="3" width="9.875" bestFit="1" customWidth="1"/>
    <col min="4" max="4" width="61.875" customWidth="1"/>
  </cols>
  <sheetData>
    <row r="3" spans="2:5" ht="17.25" x14ac:dyDescent="0.3">
      <c r="B3" s="21" t="s">
        <v>37</v>
      </c>
    </row>
    <row r="4" spans="2:5" ht="9" customHeight="1" x14ac:dyDescent="0.3"/>
    <row r="5" spans="2:5" x14ac:dyDescent="0.3">
      <c r="B5" s="22" t="s">
        <v>25</v>
      </c>
      <c r="C5" s="23" t="s">
        <v>26</v>
      </c>
      <c r="D5" s="23" t="s">
        <v>27</v>
      </c>
      <c r="E5" s="24" t="s">
        <v>28</v>
      </c>
    </row>
    <row r="6" spans="2:5" x14ac:dyDescent="0.3">
      <c r="B6" s="25">
        <v>0.1</v>
      </c>
      <c r="C6" s="106">
        <v>41758</v>
      </c>
      <c r="D6" s="26" t="s">
        <v>29</v>
      </c>
      <c r="E6" s="27" t="s">
        <v>30</v>
      </c>
    </row>
    <row r="7" spans="2:5" x14ac:dyDescent="0.3">
      <c r="B7" s="25">
        <v>0.3</v>
      </c>
      <c r="C7" s="106">
        <v>42164</v>
      </c>
      <c r="D7" s="26" t="s">
        <v>36</v>
      </c>
      <c r="E7" s="27" t="s">
        <v>30</v>
      </c>
    </row>
    <row r="8" spans="2:5" x14ac:dyDescent="0.3">
      <c r="B8" s="25"/>
      <c r="C8" s="106"/>
      <c r="D8" s="26"/>
      <c r="E8" s="27"/>
    </row>
    <row r="9" spans="2:5" x14ac:dyDescent="0.3">
      <c r="B9" s="25"/>
      <c r="C9" s="106"/>
      <c r="D9" s="26"/>
      <c r="E9" s="27"/>
    </row>
    <row r="10" spans="2:5" x14ac:dyDescent="0.3">
      <c r="B10" s="25"/>
      <c r="C10" s="106"/>
      <c r="D10" s="26"/>
      <c r="E10" s="27"/>
    </row>
    <row r="11" spans="2:5" x14ac:dyDescent="0.3">
      <c r="B11" s="25"/>
      <c r="C11" s="106"/>
      <c r="D11" s="26"/>
      <c r="E11" s="27"/>
    </row>
    <row r="12" spans="2:5" x14ac:dyDescent="0.3">
      <c r="B12" s="25"/>
      <c r="C12" s="106"/>
      <c r="D12" s="26"/>
      <c r="E12" s="27"/>
    </row>
    <row r="13" spans="2:5" x14ac:dyDescent="0.3">
      <c r="B13" s="25"/>
      <c r="C13" s="106"/>
      <c r="D13" s="26"/>
      <c r="E13" s="27"/>
    </row>
    <row r="14" spans="2:5" x14ac:dyDescent="0.3">
      <c r="B14" s="25"/>
      <c r="C14" s="106"/>
      <c r="D14" s="26"/>
      <c r="E14" s="27"/>
    </row>
    <row r="15" spans="2:5" x14ac:dyDescent="0.3">
      <c r="B15" s="25"/>
      <c r="C15" s="106"/>
      <c r="D15" s="26"/>
      <c r="E15" s="27"/>
    </row>
    <row r="16" spans="2:5" x14ac:dyDescent="0.3">
      <c r="B16" s="25"/>
      <c r="C16" s="106"/>
      <c r="D16" s="26"/>
      <c r="E16" s="27"/>
    </row>
    <row r="17" spans="2:5" x14ac:dyDescent="0.3">
      <c r="B17" s="25"/>
      <c r="C17" s="106"/>
      <c r="D17" s="26"/>
      <c r="E17" s="27"/>
    </row>
    <row r="18" spans="2:5" x14ac:dyDescent="0.3">
      <c r="B18" s="25"/>
      <c r="C18" s="106"/>
      <c r="D18" s="26"/>
      <c r="E18" s="27"/>
    </row>
    <row r="19" spans="2:5" x14ac:dyDescent="0.3">
      <c r="B19" s="25"/>
      <c r="C19" s="106"/>
      <c r="D19" s="26"/>
      <c r="E19" s="27"/>
    </row>
    <row r="20" spans="2:5" x14ac:dyDescent="0.3">
      <c r="B20" s="25"/>
      <c r="C20" s="106"/>
      <c r="D20" s="26"/>
      <c r="E20" s="27"/>
    </row>
    <row r="21" spans="2:5" x14ac:dyDescent="0.3">
      <c r="B21" s="25"/>
      <c r="C21" s="106"/>
      <c r="D21" s="26"/>
      <c r="E21" s="27"/>
    </row>
    <row r="22" spans="2:5" x14ac:dyDescent="0.3">
      <c r="B22" s="25"/>
      <c r="C22" s="106"/>
      <c r="D22" s="26"/>
      <c r="E22" s="27"/>
    </row>
    <row r="23" spans="2:5" x14ac:dyDescent="0.3">
      <c r="B23" s="25"/>
      <c r="C23" s="106"/>
      <c r="D23" s="26"/>
      <c r="E23" s="27"/>
    </row>
    <row r="24" spans="2:5" x14ac:dyDescent="0.3">
      <c r="B24" s="25"/>
      <c r="C24" s="106"/>
      <c r="D24" s="26"/>
      <c r="E24" s="27"/>
    </row>
    <row r="25" spans="2:5" x14ac:dyDescent="0.3">
      <c r="B25" s="25"/>
      <c r="C25" s="106"/>
      <c r="D25" s="26"/>
      <c r="E25" s="27"/>
    </row>
    <row r="26" spans="2:5" x14ac:dyDescent="0.3">
      <c r="B26" s="25"/>
      <c r="C26" s="106"/>
      <c r="D26" s="26"/>
      <c r="E26" s="27"/>
    </row>
    <row r="27" spans="2:5" x14ac:dyDescent="0.3">
      <c r="B27" s="28"/>
      <c r="C27" s="107"/>
      <c r="D27" s="29"/>
      <c r="E27" s="30"/>
    </row>
    <row r="28" spans="2:5" x14ac:dyDescent="0.3">
      <c r="B28" s="31"/>
      <c r="C28" s="108"/>
      <c r="D28" s="32"/>
      <c r="E28" s="33"/>
    </row>
  </sheetData>
  <phoneticPr fontId="1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1" shapeId="16386" r:id="rId3">
          <objectPr defaultSize="0" autoPict="0" r:id="rId4">
            <anchor moveWithCells="1">
              <from>
                <xdr:col>5</xdr:col>
                <xdr:colOff>190500</xdr:colOff>
                <xdr:row>3</xdr:row>
                <xdr:rowOff>104775</xdr:rowOff>
              </from>
              <to>
                <xdr:col>7</xdr:col>
                <xdr:colOff>9525</xdr:colOff>
                <xdr:row>6</xdr:row>
                <xdr:rowOff>133350</xdr:rowOff>
              </to>
            </anchor>
          </objectPr>
        </oleObject>
      </mc:Choice>
      <mc:Fallback>
        <oleObject progId="Visio.Drawing.11" shapeId="16386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Summary</vt:lpstr>
      <vt:lpstr>StatusHistory</vt:lpstr>
      <vt:lpstr>Statistics_forConfluence</vt:lpstr>
      <vt:lpstr>Statistics_temp</vt:lpstr>
      <vt:lpstr>Statistic_Table</vt:lpstr>
      <vt:lpstr>Doc.revision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신동재</dc:creator>
  <cp:lastModifiedBy>sycho</cp:lastModifiedBy>
  <dcterms:created xsi:type="dcterms:W3CDTF">2012-06-11T06:43:17Z</dcterms:created>
  <dcterms:modified xsi:type="dcterms:W3CDTF">2015-08-07T07:19:02Z</dcterms:modified>
</cp:coreProperties>
</file>